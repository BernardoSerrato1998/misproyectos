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ink/ink18.xml" ContentType="application/inkml+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C:\Users\Bernardo\Documents\Repositorio Git Hub\"/>
    </mc:Choice>
  </mc:AlternateContent>
  <xr:revisionPtr revIDLastSave="0" documentId="13_ncr:1_{AD5CFFB5-7F47-482F-A28B-C15C3433C271}" xr6:coauthVersionLast="45" xr6:coauthVersionMax="45" xr10:uidLastSave="{00000000-0000-0000-0000-000000000000}"/>
  <bookViews>
    <workbookView xWindow="-120" yWindow="-120" windowWidth="20730" windowHeight="11160" xr2:uid="{62F40B98-5EEF-4B9E-8919-55ED6829AC94}"/>
  </bookViews>
  <sheets>
    <sheet name="Presentación" sheetId="8" r:id="rId1"/>
    <sheet name="Modelo de precios de activos" sheetId="1" r:id="rId2"/>
    <sheet name="Binomial" sheetId="2" r:id="rId3"/>
    <sheet name="Formula Black &amp; Scholes" sheetId="3" r:id="rId4"/>
    <sheet name="Interpolación Tasas de Interes" sheetId="4" r:id="rId5"/>
    <sheet name="Swap y Cross Currency Swap" sheetId="6" r:id="rId6"/>
  </sheets>
  <definedNames>
    <definedName name="_xlnm._FilterDatabase" localSheetId="2" hidden="1">Binomial!$A$16:$B$17</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1" i="6" l="1"/>
  <c r="E11" i="6" s="1"/>
  <c r="F11" i="6" s="1"/>
  <c r="G11" i="6" s="1"/>
  <c r="H11" i="6" s="1"/>
  <c r="I11" i="6" s="1"/>
  <c r="J11" i="6" s="1"/>
  <c r="K11" i="6" s="1"/>
  <c r="L11" i="6" s="1"/>
  <c r="G40" i="4" l="1"/>
  <c r="H40" i="4"/>
  <c r="I40" i="4"/>
  <c r="J40" i="4"/>
  <c r="K40" i="4"/>
  <c r="L40" i="4"/>
  <c r="M40" i="4"/>
  <c r="N40" i="4"/>
  <c r="O40" i="4"/>
  <c r="M43" i="4" s="1"/>
  <c r="F40" i="4"/>
  <c r="N42" i="4" s="1"/>
  <c r="G24" i="4"/>
  <c r="P24" i="4" s="1"/>
  <c r="H24" i="4"/>
  <c r="I24" i="4"/>
  <c r="J24" i="4"/>
  <c r="K24" i="4"/>
  <c r="L24" i="4"/>
  <c r="M24" i="4"/>
  <c r="N24" i="4"/>
  <c r="O24" i="4"/>
  <c r="P25" i="4" s="1"/>
  <c r="F24" i="4"/>
  <c r="F23" i="4"/>
  <c r="J36" i="4"/>
  <c r="K36" i="4" s="1"/>
  <c r="L36" i="4" s="1"/>
  <c r="M36" i="4" s="1"/>
  <c r="N36" i="4" s="1"/>
  <c r="O36" i="4" s="1"/>
  <c r="J34" i="4"/>
  <c r="K34" i="4" s="1"/>
  <c r="L34" i="4" s="1"/>
  <c r="M34" i="4" s="1"/>
  <c r="N34" i="4" s="1"/>
  <c r="O34" i="4" s="1"/>
  <c r="F26" i="4"/>
  <c r="G26" i="4"/>
  <c r="H26" i="4"/>
  <c r="F34" i="4" s="1"/>
  <c r="I26" i="4"/>
  <c r="J26" i="4"/>
  <c r="K26" i="4"/>
  <c r="G25" i="4"/>
  <c r="H25" i="4"/>
  <c r="I25" i="4"/>
  <c r="J25" i="4"/>
  <c r="K25" i="4"/>
  <c r="F25" i="4"/>
  <c r="H9" i="4"/>
  <c r="G9" i="4"/>
  <c r="I9" i="4"/>
  <c r="J9" i="4"/>
  <c r="F9" i="4"/>
  <c r="G10" i="4"/>
  <c r="H10" i="4"/>
  <c r="G18" i="4" s="1"/>
  <c r="I10" i="4"/>
  <c r="H18" i="4" s="1"/>
  <c r="J10" i="4"/>
  <c r="F10" i="4"/>
  <c r="Q25" i="4" l="1"/>
  <c r="H11" i="4"/>
  <c r="F18" i="4"/>
  <c r="G11" i="4"/>
  <c r="I11" i="4"/>
  <c r="F19" i="4" s="1"/>
  <c r="J11" i="4"/>
  <c r="H19" i="4" s="1"/>
  <c r="I19" i="4" s="1"/>
  <c r="J19" i="4" s="1"/>
  <c r="K19" i="4" s="1"/>
  <c r="L19" i="4" s="1"/>
  <c r="M19" i="4" s="1"/>
  <c r="N19" i="4" s="1"/>
  <c r="O19" i="4" s="1"/>
  <c r="F20" i="4"/>
  <c r="F22" i="4" l="1"/>
  <c r="I18" i="4"/>
  <c r="G19" i="4"/>
  <c r="G20" i="4"/>
  <c r="G22" i="4" s="1"/>
  <c r="H20" i="4"/>
  <c r="I20" i="4"/>
  <c r="J20" i="4" s="1"/>
  <c r="K20" i="4" s="1"/>
  <c r="L20" i="4" s="1"/>
  <c r="M20" i="4" s="1"/>
  <c r="N20" i="4" s="1"/>
  <c r="O20" i="4" s="1"/>
  <c r="I36" i="4"/>
  <c r="H36" i="4"/>
  <c r="F36" i="4"/>
  <c r="G36" i="4" s="1"/>
  <c r="I34" i="4"/>
  <c r="H34" i="4"/>
  <c r="G32" i="4"/>
  <c r="H32" i="4" s="1"/>
  <c r="I32" i="4" s="1"/>
  <c r="J32" i="4" s="1"/>
  <c r="K32" i="4" s="1"/>
  <c r="L32" i="4" s="1"/>
  <c r="M32" i="4" s="1"/>
  <c r="N32" i="4" s="1"/>
  <c r="O32" i="4" s="1"/>
  <c r="K27" i="4"/>
  <c r="J35" i="4" s="1"/>
  <c r="K35" i="4" s="1"/>
  <c r="L35" i="4" s="1"/>
  <c r="M35" i="4" s="1"/>
  <c r="N35" i="4" s="1"/>
  <c r="O35" i="4" s="1"/>
  <c r="J27" i="4"/>
  <c r="I27" i="4"/>
  <c r="G35" i="4" s="1"/>
  <c r="H27" i="4"/>
  <c r="F35" i="4" s="1"/>
  <c r="G27" i="4"/>
  <c r="G16" i="4"/>
  <c r="H16" i="4" s="1"/>
  <c r="I16" i="4" s="1"/>
  <c r="J16" i="4" s="1"/>
  <c r="K16" i="4" s="1"/>
  <c r="L16" i="4" s="1"/>
  <c r="M16" i="4" s="1"/>
  <c r="N16" i="4" s="1"/>
  <c r="O16" i="4" s="1"/>
  <c r="I35" i="4" l="1"/>
  <c r="H35" i="4"/>
  <c r="H22" i="4"/>
  <c r="J18" i="4"/>
  <c r="I22" i="4"/>
  <c r="O37" i="4"/>
  <c r="L37" i="4"/>
  <c r="J37" i="4"/>
  <c r="H37" i="4"/>
  <c r="I37" i="4"/>
  <c r="G34" i="4"/>
  <c r="G37" i="4" s="1"/>
  <c r="F37" i="4"/>
  <c r="K18" i="4" l="1"/>
  <c r="J22" i="4"/>
  <c r="M37" i="4"/>
  <c r="N37" i="4"/>
  <c r="K37" i="4"/>
  <c r="B9" i="1"/>
  <c r="B12" i="1"/>
  <c r="K22" i="4" l="1"/>
  <c r="L18" i="4"/>
  <c r="B17" i="2"/>
  <c r="L22" i="4" l="1"/>
  <c r="M18" i="4"/>
  <c r="M22" i="4" l="1"/>
  <c r="N18" i="4"/>
  <c r="O18" i="4" l="1"/>
  <c r="O22" i="4" s="1"/>
  <c r="N22" i="4"/>
</calcChain>
</file>

<file path=xl/sharedStrings.xml><?xml version="1.0" encoding="utf-8"?>
<sst xmlns="http://schemas.openxmlformats.org/spreadsheetml/2006/main" count="94" uniqueCount="63">
  <si>
    <t>Modelo de precios de activos</t>
  </si>
  <si>
    <t>Modelo Binomial de Opciones</t>
  </si>
  <si>
    <t>Fórmula Black &amp; Scholes</t>
  </si>
  <si>
    <t>Interpolación de Tasas de Interés</t>
  </si>
  <si>
    <t>SWAPS</t>
  </si>
  <si>
    <t>Celdas cambiantes</t>
  </si>
  <si>
    <t>Valores</t>
  </si>
  <si>
    <t>σ=</t>
  </si>
  <si>
    <t>Número de periodos=</t>
  </si>
  <si>
    <t>S=</t>
  </si>
  <si>
    <t>µ=</t>
  </si>
  <si>
    <t>K=</t>
  </si>
  <si>
    <t>Meses</t>
  </si>
  <si>
    <t>Años</t>
  </si>
  <si>
    <t>Δt=</t>
  </si>
  <si>
    <t>r=</t>
  </si>
  <si>
    <t>Número de saltos=</t>
  </si>
  <si>
    <t>τ=</t>
  </si>
  <si>
    <t>Resultado de la prima</t>
  </si>
  <si>
    <t>Derivado</t>
  </si>
  <si>
    <t>Tipo</t>
  </si>
  <si>
    <t>Europeo</t>
  </si>
  <si>
    <t>U</t>
  </si>
  <si>
    <t>D</t>
  </si>
  <si>
    <t>P</t>
  </si>
  <si>
    <t>A continuación se mostrará el árbol de los valores en el tiempo y abajo el valor intrínseco</t>
  </si>
  <si>
    <t>Plazo</t>
  </si>
  <si>
    <t>*el Δt ya viene dado automaticamente por el tiempo y el número de saltos</t>
  </si>
  <si>
    <t>Resultados</t>
  </si>
  <si>
    <t>#pasos</t>
  </si>
  <si>
    <t>Precio</t>
  </si>
  <si>
    <t>A continuación se muestra el numero de pasos con sus respectivos valores</t>
  </si>
  <si>
    <t>*Los resultados se encuentran horizontalmente en línea recta a partir de la celda G7</t>
  </si>
  <si>
    <t>Put</t>
  </si>
  <si>
    <t>Dividendos</t>
  </si>
  <si>
    <t>Resultado</t>
  </si>
  <si>
    <t>d1</t>
  </si>
  <si>
    <t>d2</t>
  </si>
  <si>
    <t>Tasas Spot en Pesos</t>
  </si>
  <si>
    <t>Tasas FWD (t-1) - t</t>
  </si>
  <si>
    <t>Plazos OBJETIVO</t>
  </si>
  <si>
    <t>Spot MXN (0 - (t-1))</t>
  </si>
  <si>
    <t>Curva FWD ((t-1) - t)</t>
  </si>
  <si>
    <t>Plazo (t-1)</t>
  </si>
  <si>
    <t>Tasa Interpolada</t>
  </si>
  <si>
    <t>*se utilizaron las tasas de banxico del dia 20 de mayo y tambien de Treasury Yield</t>
  </si>
  <si>
    <t>Tasas en MXN</t>
  </si>
  <si>
    <t>Tasas Spot en Dolares</t>
  </si>
  <si>
    <t>Tasas de Mexico</t>
  </si>
  <si>
    <t>Tasas de Estados Unidos</t>
  </si>
  <si>
    <t>Tasas en USD</t>
  </si>
  <si>
    <t>Plazos</t>
  </si>
  <si>
    <t>Tasas</t>
  </si>
  <si>
    <t>Pon los plazos con sus respectivas tasas en México</t>
  </si>
  <si>
    <t>Pon los plazos con sus respectivas tasas en Estados Unidos</t>
  </si>
  <si>
    <t>Valor Tasa SWAP</t>
  </si>
  <si>
    <t>Valor TasaCross Currency SWAP</t>
  </si>
  <si>
    <t>México</t>
  </si>
  <si>
    <t>MXN a USD</t>
  </si>
  <si>
    <t>*solo se debe cambiar el plazo y los plazos con las tasas</t>
  </si>
  <si>
    <t>En este excel se muestran distintos modelos financieros tales como valuación de activos por medio de simulaciones estocásticas, particularmente, simulaciones realizadas por el movimiento browniano geométrico), tambien se calculan derivados financieros(opciones put y call, europeo y americano, respectivamente), por último, se realizaron modelos de curvas de tasas en las que dadas las tasas de tesorería de México y Estados Unidos, se calcularon tasas interpoladas, respectivamente.</t>
  </si>
  <si>
    <t>Los modelos que se encuentran en las pestañas "Modelo de precios de activos", "Binomial" y "Formula Black &amp; Scholes" se realizaron en Visual Basic, así que se debe de habilitar las macros al abrir el documento.</t>
  </si>
  <si>
    <t>Para la visualiación de los resultados, en cada pestaña del documento se encuentran los valores de entrada con sus respectivas celdas cambiantes, en color naranja y amarillo respectivamente, así como una caja, la cual se debe de seleccionar después de haber llenado los valores de entrada.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</si>
</sst>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_-* #,##0_-;\-* #,##0_-;_-* &quot;-&quot;??_-;_-@_-"/>
    <numFmt numFmtId="166" formatCode="0.0000%"/>
    <numFmt numFmtId="167" formatCode="0.0000000%"/>
  </numFmts>
  <fonts count="11" x14ac:knownFonts="1">
    <font>
      <sz val="11"/>
      <color theme="1"/>
      <name val="Calibri"/>
      <family val="2"/>
      <scheme val="minor"/>
    </font>
    <font>
      <sz val="14"/>
      <color theme="1"/>
      <name val="Calibri"/>
      <family val="2"/>
      <scheme val="minor"/>
    </font>
    <font>
      <sz val="16"/>
      <color theme="1"/>
      <name val="Calibri"/>
      <family val="2"/>
      <scheme val="minor"/>
    </font>
    <font>
      <sz val="11"/>
      <color theme="1"/>
      <name val="Calibri"/>
      <family val="2"/>
    </font>
    <font>
      <b/>
      <sz val="11"/>
      <color theme="1"/>
      <name val="Calibri"/>
      <family val="2"/>
      <scheme val="minor"/>
    </font>
    <font>
      <sz val="9"/>
      <color theme="1"/>
      <name val="Calibri"/>
      <family val="2"/>
      <scheme val="minor"/>
    </font>
    <font>
      <sz val="11"/>
      <color theme="1"/>
      <name val="Calibri"/>
      <family val="2"/>
      <scheme val="minor"/>
    </font>
    <font>
      <sz val="20"/>
      <color theme="1"/>
      <name val="Calibri"/>
      <family val="2"/>
      <scheme val="minor"/>
    </font>
    <font>
      <sz val="12"/>
      <color theme="1"/>
      <name val="Cambria"/>
      <family val="1"/>
    </font>
    <font>
      <b/>
      <sz val="16"/>
      <color theme="1"/>
      <name val="Calibri"/>
      <family val="2"/>
      <scheme val="minor"/>
    </font>
    <font>
      <b/>
      <sz val="12"/>
      <color theme="1"/>
      <name val="Calibri"/>
      <family val="2"/>
      <scheme val="minor"/>
    </font>
  </fonts>
  <fills count="8">
    <fill>
      <patternFill patternType="none"/>
    </fill>
    <fill>
      <patternFill patternType="gray125"/>
    </fill>
    <fill>
      <patternFill patternType="solid">
        <fgColor theme="0" tint="-0.1499984740745262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rgb="FFFFFF00"/>
        <bgColor indexed="64"/>
      </patternFill>
    </fill>
    <fill>
      <patternFill patternType="solid">
        <fgColor theme="9" tint="0.39997558519241921"/>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s>
  <cellStyleXfs count="3">
    <xf numFmtId="0" fontId="0" fillId="0" borderId="0"/>
    <xf numFmtId="9" fontId="6" fillId="0" borderId="0" applyFont="0" applyFill="0" applyBorder="0" applyAlignment="0" applyProtection="0"/>
    <xf numFmtId="43" fontId="6" fillId="0" borderId="0" applyFont="0" applyFill="0" applyBorder="0" applyAlignment="0" applyProtection="0"/>
  </cellStyleXfs>
  <cellXfs count="52">
    <xf numFmtId="0" fontId="0" fillId="0" borderId="0" xfId="0"/>
    <xf numFmtId="0" fontId="0" fillId="2" borderId="0" xfId="0" applyFill="1"/>
    <xf numFmtId="0" fontId="0" fillId="4" borderId="0" xfId="0" applyFill="1"/>
    <xf numFmtId="0" fontId="0" fillId="3" borderId="0" xfId="0" applyFill="1"/>
    <xf numFmtId="0" fontId="0" fillId="4" borderId="0" xfId="0" applyFill="1" applyAlignment="1">
      <alignment horizontal="right"/>
    </xf>
    <xf numFmtId="0" fontId="3" fillId="4" borderId="0" xfId="0" applyFont="1" applyFill="1" applyAlignment="1">
      <alignment horizontal="right"/>
    </xf>
    <xf numFmtId="9" fontId="0" fillId="3" borderId="0" xfId="0" applyNumberFormat="1" applyFill="1"/>
    <xf numFmtId="0" fontId="0" fillId="5" borderId="0" xfId="0" applyFill="1"/>
    <xf numFmtId="0" fontId="4" fillId="5" borderId="0" xfId="0" applyFont="1" applyFill="1"/>
    <xf numFmtId="0" fontId="0" fillId="2" borderId="1" xfId="0" applyFill="1" applyBorder="1"/>
    <xf numFmtId="0" fontId="0" fillId="2" borderId="0" xfId="0" applyFill="1" applyAlignment="1">
      <alignment horizontal="right"/>
    </xf>
    <xf numFmtId="0" fontId="0" fillId="3" borderId="0" xfId="0" applyNumberFormat="1" applyFill="1"/>
    <xf numFmtId="0" fontId="0" fillId="2" borderId="3" xfId="0" applyFill="1" applyBorder="1"/>
    <xf numFmtId="0" fontId="0" fillId="2" borderId="2" xfId="0" applyFill="1" applyBorder="1"/>
    <xf numFmtId="9" fontId="0" fillId="3" borderId="0" xfId="1" applyFont="1" applyFill="1"/>
    <xf numFmtId="164" fontId="0" fillId="3" borderId="0" xfId="0" applyNumberFormat="1" applyFill="1"/>
    <xf numFmtId="10" fontId="0" fillId="2" borderId="0" xfId="1" applyNumberFormat="1" applyFont="1" applyFill="1" applyBorder="1"/>
    <xf numFmtId="165" fontId="0" fillId="2" borderId="0" xfId="2" applyNumberFormat="1" applyFont="1" applyFill="1"/>
    <xf numFmtId="0" fontId="7" fillId="2" borderId="0" xfId="0" applyFont="1" applyFill="1"/>
    <xf numFmtId="10" fontId="0" fillId="2" borderId="0" xfId="1" applyNumberFormat="1" applyFont="1" applyFill="1"/>
    <xf numFmtId="166" fontId="9" fillId="2" borderId="0" xfId="1" applyNumberFormat="1" applyFont="1" applyFill="1"/>
    <xf numFmtId="165" fontId="0" fillId="2" borderId="0" xfId="2" applyNumberFormat="1" applyFont="1" applyFill="1" applyBorder="1"/>
    <xf numFmtId="0" fontId="0" fillId="2" borderId="0" xfId="0" applyFill="1" applyBorder="1"/>
    <xf numFmtId="10" fontId="0" fillId="3" borderId="0" xfId="1" applyNumberFormat="1" applyFont="1" applyFill="1"/>
    <xf numFmtId="167" fontId="9" fillId="2" borderId="0" xfId="1" applyNumberFormat="1" applyFont="1" applyFill="1"/>
    <xf numFmtId="0" fontId="8" fillId="4" borderId="0" xfId="0" applyFont="1" applyFill="1"/>
    <xf numFmtId="0" fontId="0" fillId="5" borderId="11" xfId="0" applyFill="1" applyBorder="1"/>
    <xf numFmtId="0" fontId="0" fillId="5" borderId="12" xfId="0" applyFill="1" applyBorder="1"/>
    <xf numFmtId="166" fontId="10" fillId="5" borderId="12" xfId="1" applyNumberFormat="1" applyFont="1" applyFill="1" applyBorder="1"/>
    <xf numFmtId="166" fontId="10" fillId="5" borderId="13" xfId="1" applyNumberFormat="1" applyFont="1" applyFill="1" applyBorder="1"/>
    <xf numFmtId="10" fontId="10" fillId="5" borderId="12" xfId="1" applyNumberFormat="1" applyFont="1" applyFill="1" applyBorder="1"/>
    <xf numFmtId="10" fontId="10" fillId="5" borderId="13" xfId="1" applyNumberFormat="1" applyFont="1" applyFill="1" applyBorder="1"/>
    <xf numFmtId="0" fontId="0" fillId="4" borderId="14" xfId="0" applyFill="1" applyBorder="1"/>
    <xf numFmtId="165" fontId="0" fillId="4" borderId="0" xfId="2" applyNumberFormat="1" applyFont="1" applyFill="1"/>
    <xf numFmtId="165" fontId="0" fillId="4" borderId="0" xfId="2" applyNumberFormat="1" applyFont="1" applyFill="1" applyBorder="1"/>
    <xf numFmtId="0" fontId="1" fillId="5" borderId="0" xfId="0" applyFont="1" applyFill="1" applyAlignment="1">
      <alignment horizontal="center"/>
    </xf>
    <xf numFmtId="0" fontId="0" fillId="6" borderId="0" xfId="0" applyFill="1" applyAlignment="1">
      <alignment horizontal="center"/>
    </xf>
    <xf numFmtId="0" fontId="5" fillId="6" borderId="5" xfId="0" applyFont="1" applyFill="1" applyBorder="1" applyAlignment="1">
      <alignment horizontal="center" vertical="center" wrapText="1"/>
    </xf>
    <xf numFmtId="0" fontId="5" fillId="6" borderId="6" xfId="0" applyFont="1" applyFill="1" applyBorder="1" applyAlignment="1">
      <alignment horizontal="center" vertical="center" wrapText="1"/>
    </xf>
    <xf numFmtId="0" fontId="5" fillId="6" borderId="7" xfId="0" applyFont="1" applyFill="1" applyBorder="1" applyAlignment="1">
      <alignment horizontal="center" vertical="center" wrapText="1"/>
    </xf>
    <xf numFmtId="0" fontId="5" fillId="6" borderId="8" xfId="0" applyFont="1" applyFill="1" applyBorder="1" applyAlignment="1">
      <alignment horizontal="center" vertical="center" wrapText="1"/>
    </xf>
    <xf numFmtId="0" fontId="5" fillId="6" borderId="9" xfId="0" applyFont="1" applyFill="1" applyBorder="1" applyAlignment="1">
      <alignment horizontal="center" vertical="center" wrapText="1"/>
    </xf>
    <xf numFmtId="0" fontId="5" fillId="6" borderId="10" xfId="0" applyFont="1" applyFill="1" applyBorder="1" applyAlignment="1">
      <alignment horizontal="center" vertical="center" wrapText="1"/>
    </xf>
    <xf numFmtId="0" fontId="0" fillId="2" borderId="4" xfId="0" applyFill="1" applyBorder="1" applyAlignment="1">
      <alignment horizontal="center"/>
    </xf>
    <xf numFmtId="0" fontId="2" fillId="5" borderId="0" xfId="0" applyFont="1" applyFill="1" applyAlignment="1">
      <alignment horizontal="center"/>
    </xf>
    <xf numFmtId="0" fontId="0" fillId="2" borderId="0" xfId="0" applyFill="1" applyAlignment="1">
      <alignment horizontal="center"/>
    </xf>
    <xf numFmtId="0" fontId="0" fillId="2" borderId="0" xfId="0" applyFill="1" applyAlignment="1">
      <alignment horizontal="right"/>
    </xf>
    <xf numFmtId="0" fontId="0" fillId="2" borderId="0" xfId="0" applyFill="1" applyBorder="1" applyAlignment="1">
      <alignment wrapText="1"/>
    </xf>
    <xf numFmtId="0" fontId="0" fillId="2" borderId="0" xfId="0" applyFill="1" applyAlignment="1">
      <alignment vertical="center" wrapText="1"/>
    </xf>
    <xf numFmtId="0" fontId="4" fillId="5" borderId="0" xfId="0" applyFont="1" applyFill="1" applyBorder="1" applyAlignment="1">
      <alignment horizontal="center" vertical="center" wrapText="1"/>
    </xf>
    <xf numFmtId="0" fontId="0" fillId="4" borderId="0" xfId="0" applyFont="1" applyFill="1" applyAlignment="1">
      <alignment horizontal="center" vertical="center" wrapText="1"/>
    </xf>
    <xf numFmtId="0" fontId="0" fillId="7" borderId="0" xfId="0" applyFont="1" applyFill="1" applyAlignment="1">
      <alignment horizontal="center" vertical="center" wrapText="1"/>
    </xf>
  </cellXfs>
  <cellStyles count="3">
    <cellStyle name="Millares" xfId="2" builtinId="3"/>
    <cellStyle name="Normal" xfId="0" builtinId="0"/>
    <cellStyle name="Porcentaje"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4.xml.rels><?xml version="1.0" encoding="UTF-8" standalone="yes"?>
<Relationships xmlns="http://schemas.openxmlformats.org/package/2006/relationships"><Relationship Id="rId8" Type="http://schemas.openxmlformats.org/officeDocument/2006/relationships/customXml" Target="../ink/ink3.xml"/><Relationship Id="rId13" Type="http://schemas.openxmlformats.org/officeDocument/2006/relationships/customXml" Target="../ink/ink6.xml"/><Relationship Id="rId18" Type="http://schemas.openxmlformats.org/officeDocument/2006/relationships/customXml" Target="../ink/ink10.xml"/><Relationship Id="rId21" Type="http://schemas.openxmlformats.org/officeDocument/2006/relationships/customXml" Target="../ink/ink13.xml"/><Relationship Id="rId7" Type="http://schemas.openxmlformats.org/officeDocument/2006/relationships/image" Target="../media/image3.png"/><Relationship Id="rId12" Type="http://schemas.openxmlformats.org/officeDocument/2006/relationships/image" Target="../media/image5.png"/><Relationship Id="rId17" Type="http://schemas.openxmlformats.org/officeDocument/2006/relationships/customXml" Target="../ink/ink9.xml"/><Relationship Id="rId25" Type="http://schemas.openxmlformats.org/officeDocument/2006/relationships/customXml" Target="../ink/ink17.xml"/><Relationship Id="rId16" Type="http://schemas.openxmlformats.org/officeDocument/2006/relationships/customXml" Target="../ink/ink8.xml"/><Relationship Id="rId20" Type="http://schemas.openxmlformats.org/officeDocument/2006/relationships/customXml" Target="../ink/ink12.xml"/><Relationship Id="rId1" Type="http://schemas.openxmlformats.org/officeDocument/2006/relationships/customXml" Target="../ink/ink1.xml"/><Relationship Id="rId6" Type="http://schemas.openxmlformats.org/officeDocument/2006/relationships/customXml" Target="../ink/ink2.xml"/><Relationship Id="rId11" Type="http://schemas.openxmlformats.org/officeDocument/2006/relationships/customXml" Target="../ink/ink5.xml"/><Relationship Id="rId24" Type="http://schemas.openxmlformats.org/officeDocument/2006/relationships/customXml" Target="../ink/ink16.xml"/><Relationship Id="rId5" Type="http://schemas.openxmlformats.org/officeDocument/2006/relationships/image" Target="../media/image2.png"/><Relationship Id="rId15" Type="http://schemas.openxmlformats.org/officeDocument/2006/relationships/customXml" Target="../ink/ink7.xml"/><Relationship Id="rId23" Type="http://schemas.openxmlformats.org/officeDocument/2006/relationships/customXml" Target="../ink/ink15.xml"/><Relationship Id="rId10" Type="http://schemas.openxmlformats.org/officeDocument/2006/relationships/customXml" Target="../ink/ink4.xml"/><Relationship Id="rId19" Type="http://schemas.openxmlformats.org/officeDocument/2006/relationships/customXml" Target="../ink/ink11.xml"/><Relationship Id="rId9" Type="http://schemas.openxmlformats.org/officeDocument/2006/relationships/image" Target="../media/image4.png"/><Relationship Id="rId14" Type="http://schemas.openxmlformats.org/officeDocument/2006/relationships/image" Target="../media/image6.png"/><Relationship Id="rId22" Type="http://schemas.openxmlformats.org/officeDocument/2006/relationships/customXml" Target="../ink/ink14.xml"/></Relationships>
</file>

<file path=xl/drawings/_rels/drawing5.xml.rels><?xml version="1.0" encoding="UTF-8" standalone="yes"?>
<Relationships xmlns="http://schemas.openxmlformats.org/package/2006/relationships"><Relationship Id="rId7" Type="http://schemas.openxmlformats.org/officeDocument/2006/relationships/image" Target="../media/image3.png"/><Relationship Id="rId1" Type="http://schemas.openxmlformats.org/officeDocument/2006/relationships/customXml" Target="../ink/ink1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638175</xdr:colOff>
          <xdr:row>1</xdr:row>
          <xdr:rowOff>114300</xdr:rowOff>
        </xdr:from>
        <xdr:to>
          <xdr:col>4</xdr:col>
          <xdr:colOff>428625</xdr:colOff>
          <xdr:row>6</xdr:row>
          <xdr:rowOff>66675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733425</xdr:colOff>
          <xdr:row>2</xdr:row>
          <xdr:rowOff>28575</xdr:rowOff>
        </xdr:from>
        <xdr:to>
          <xdr:col>4</xdr:col>
          <xdr:colOff>552450</xdr:colOff>
          <xdr:row>6</xdr:row>
          <xdr:rowOff>123825</xdr:rowOff>
        </xdr:to>
        <xdr:sp macro="" textlink="">
          <xdr:nvSpPr>
            <xdr:cNvPr id="1027" name="valuacionbinomial"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0</xdr:row>
          <xdr:rowOff>142875</xdr:rowOff>
        </xdr:from>
        <xdr:to>
          <xdr:col>4</xdr:col>
          <xdr:colOff>561975</xdr:colOff>
          <xdr:row>4</xdr:row>
          <xdr:rowOff>104775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19050</xdr:rowOff>
        </xdr:from>
        <xdr:to>
          <xdr:col>3</xdr:col>
          <xdr:colOff>323850</xdr:colOff>
          <xdr:row>3</xdr:row>
          <xdr:rowOff>9525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486946</xdr:colOff>
      <xdr:row>10</xdr:row>
      <xdr:rowOff>302451</xdr:rowOff>
    </xdr:from>
    <xdr:to>
      <xdr:col>9</xdr:col>
      <xdr:colOff>487306</xdr:colOff>
      <xdr:row>11</xdr:row>
      <xdr:rowOff>73490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9" name="Entrada de lápiz 18">
              <a:extLst>
                <a:ext uri="{FF2B5EF4-FFF2-40B4-BE49-F238E27FC236}">
                  <a16:creationId xmlns:a16="http://schemas.microsoft.com/office/drawing/2014/main" id="{00000000-0008-0000-0300-000013000000}"/>
                </a:ext>
              </a:extLst>
            </xdr14:cNvPr>
            <xdr14:cNvContentPartPr/>
          </xdr14:nvContentPartPr>
          <xdr14:nvPr macro=""/>
          <xdr14:xfrm>
            <a:off x="8840520" y="1467000"/>
            <a:ext cx="360" cy="360"/>
          </xdr14:xfrm>
        </xdr:contentPart>
      </mc:Choice>
      <mc:Fallback xmlns="">
        <xdr:pic>
          <xdr:nvPicPr>
            <xdr:cNvPr id="18" name="Entrada de lápiz 17">
              <a:extLst>
                <a:ext uri="{FF2B5EF4-FFF2-40B4-BE49-F238E27FC236}">
                  <a16:creationId xmlns:a16="http://schemas.microsoft.com/office/drawing/2014/main" id="{7C5471E1-804E-8F4E-95F4-A1891B8E97B9}"/>
                </a:ext>
              </a:extLst>
            </xdr:cNvPr>
            <xdr:cNvPicPr/>
          </xdr:nvPicPr>
          <xdr:blipFill>
            <a:blip xmlns:r="http://schemas.openxmlformats.org/officeDocument/2006/relationships" r:embed="rId5"/>
            <a:stretch>
              <a:fillRect/>
            </a:stretch>
          </xdr:blipFill>
          <xdr:spPr>
            <a:xfrm>
              <a:off x="8836200" y="1462680"/>
              <a:ext cx="9000" cy="9000"/>
            </a:xfrm>
            <a:prstGeom prst="rect">
              <a:avLst/>
            </a:prstGeom>
          </xdr:spPr>
        </xdr:pic>
      </mc:Fallback>
    </mc:AlternateContent>
    <xdr:clientData/>
  </xdr:twoCellAnchor>
  <xdr:twoCellAnchor editAs="oneCell">
    <xdr:from>
      <xdr:col>8</xdr:col>
      <xdr:colOff>906346</xdr:colOff>
      <xdr:row>10</xdr:row>
      <xdr:rowOff>263571</xdr:rowOff>
    </xdr:from>
    <xdr:to>
      <xdr:col>8</xdr:col>
      <xdr:colOff>915551</xdr:colOff>
      <xdr:row>11</xdr:row>
      <xdr:rowOff>72710</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20" name="Entrada de lápiz 19">
              <a:extLst>
                <a:ext uri="{FF2B5EF4-FFF2-40B4-BE49-F238E27FC236}">
                  <a16:creationId xmlns:a16="http://schemas.microsoft.com/office/drawing/2014/main" id="{00000000-0008-0000-0300-000014000000}"/>
                </a:ext>
              </a:extLst>
            </xdr14:cNvPr>
            <xdr14:cNvContentPartPr/>
          </xdr14:nvContentPartPr>
          <xdr14:nvPr macro=""/>
          <xdr14:xfrm>
            <a:off x="9259920" y="1428120"/>
            <a:ext cx="360" cy="360"/>
          </xdr14:xfrm>
        </xdr:contentPart>
      </mc:Choice>
      <mc:Fallback xmlns="">
        <xdr:pic>
          <xdr:nvPicPr>
            <xdr:cNvPr id="22" name="Entrada de lápiz 21">
              <a:extLst>
                <a:ext uri="{FF2B5EF4-FFF2-40B4-BE49-F238E27FC236}">
                  <a16:creationId xmlns:a16="http://schemas.microsoft.com/office/drawing/2014/main" id="{CF239469-7E68-D140-8DE0-C904502E33F2}"/>
                </a:ext>
              </a:extLst>
            </xdr:cNvPr>
            <xdr:cNvPicPr/>
          </xdr:nvPicPr>
          <xdr:blipFill>
            <a:blip xmlns:r="http://schemas.openxmlformats.org/officeDocument/2006/relationships" r:embed="rId7"/>
            <a:stretch>
              <a:fillRect/>
            </a:stretch>
          </xdr:blipFill>
          <xdr:spPr>
            <a:xfrm>
              <a:off x="9255600" y="1423800"/>
              <a:ext cx="9000" cy="9000"/>
            </a:xfrm>
            <a:prstGeom prst="rect">
              <a:avLst/>
            </a:prstGeom>
          </xdr:spPr>
        </xdr:pic>
      </mc:Fallback>
    </mc:AlternateContent>
    <xdr:clientData/>
  </xdr:twoCellAnchor>
  <xdr:twoCellAnchor editAs="oneCell">
    <xdr:from>
      <xdr:col>5</xdr:col>
      <xdr:colOff>895477</xdr:colOff>
      <xdr:row>13</xdr:row>
      <xdr:rowOff>189987</xdr:rowOff>
    </xdr:from>
    <xdr:to>
      <xdr:col>6</xdr:col>
      <xdr:colOff>4087</xdr:colOff>
      <xdr:row>14</xdr:row>
      <xdr:rowOff>11378</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21" name="Entrada de lápiz 20">
              <a:extLst>
                <a:ext uri="{FF2B5EF4-FFF2-40B4-BE49-F238E27FC236}">
                  <a16:creationId xmlns:a16="http://schemas.microsoft.com/office/drawing/2014/main" id="{00000000-0008-0000-0300-000015000000}"/>
                </a:ext>
              </a:extLst>
            </xdr14:cNvPr>
            <xdr14:cNvContentPartPr/>
          </xdr14:nvContentPartPr>
          <xdr14:nvPr macro=""/>
          <xdr14:xfrm>
            <a:off x="4884856" y="2715637"/>
            <a:ext cx="3960" cy="15120"/>
          </xdr14:xfrm>
        </xdr:contentPart>
      </mc:Choice>
      <mc:Fallback xmlns="">
        <xdr:pic>
          <xdr:nvPicPr>
            <xdr:cNvPr id="38" name="Entrada de lápiz 37">
              <a:extLst>
                <a:ext uri="{FF2B5EF4-FFF2-40B4-BE49-F238E27FC236}">
                  <a16:creationId xmlns:a16="http://schemas.microsoft.com/office/drawing/2014/main" id="{F3FDB471-F5FC-894A-B8E6-B0DCE8A6475C}"/>
                </a:ext>
              </a:extLst>
            </xdr:cNvPr>
            <xdr:cNvPicPr/>
          </xdr:nvPicPr>
          <xdr:blipFill>
            <a:blip xmlns:r="http://schemas.openxmlformats.org/officeDocument/2006/relationships" r:embed="rId9"/>
            <a:stretch>
              <a:fillRect/>
            </a:stretch>
          </xdr:blipFill>
          <xdr:spPr>
            <a:xfrm>
              <a:off x="4877296" y="2708077"/>
              <a:ext cx="19080" cy="30240"/>
            </a:xfrm>
            <a:prstGeom prst="rect">
              <a:avLst/>
            </a:prstGeom>
          </xdr:spPr>
        </xdr:pic>
      </mc:Fallback>
    </mc:AlternateContent>
    <xdr:clientData/>
  </xdr:twoCellAnchor>
  <xdr:twoCellAnchor editAs="oneCell">
    <xdr:from>
      <xdr:col>7</xdr:col>
      <xdr:colOff>559563</xdr:colOff>
      <xdr:row>15</xdr:row>
      <xdr:rowOff>77080</xdr:rowOff>
    </xdr:from>
    <xdr:to>
      <xdr:col>7</xdr:col>
      <xdr:colOff>559923</xdr:colOff>
      <xdr:row>15</xdr:row>
      <xdr:rowOff>77440</xdr:rowOff>
    </xdr:to>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22" name="Entrada de lápiz 21">
              <a:extLst>
                <a:ext uri="{FF2B5EF4-FFF2-40B4-BE49-F238E27FC236}">
                  <a16:creationId xmlns:a16="http://schemas.microsoft.com/office/drawing/2014/main" id="{00000000-0008-0000-0300-000016000000}"/>
                </a:ext>
              </a:extLst>
            </xdr14:cNvPr>
            <xdr14:cNvContentPartPr/>
          </xdr14:nvContentPartPr>
          <xdr14:nvPr macro=""/>
          <xdr14:xfrm>
            <a:off x="6731640" y="2954520"/>
            <a:ext cx="360" cy="360"/>
          </xdr14:xfrm>
        </xdr:contentPart>
      </mc:Choice>
      <mc:Fallback xmlns="">
        <xdr:pic>
          <xdr:nvPicPr>
            <xdr:cNvPr id="58" name="Entrada de lápiz 57">
              <a:extLst>
                <a:ext uri="{FF2B5EF4-FFF2-40B4-BE49-F238E27FC236}">
                  <a16:creationId xmlns:a16="http://schemas.microsoft.com/office/drawing/2014/main" id="{A062CCA2-9F89-874E-8D59-15AF09207FDD}"/>
                </a:ext>
              </a:extLst>
            </xdr:cNvPr>
            <xdr:cNvPicPr/>
          </xdr:nvPicPr>
          <xdr:blipFill>
            <a:blip xmlns:r="http://schemas.openxmlformats.org/officeDocument/2006/relationships" r:embed="rId7"/>
            <a:stretch>
              <a:fillRect/>
            </a:stretch>
          </xdr:blipFill>
          <xdr:spPr>
            <a:xfrm>
              <a:off x="6727320" y="2950200"/>
              <a:ext cx="9000" cy="9000"/>
            </a:xfrm>
            <a:prstGeom prst="rect">
              <a:avLst/>
            </a:prstGeom>
          </xdr:spPr>
        </xdr:pic>
      </mc:Fallback>
    </mc:AlternateContent>
    <xdr:clientData/>
  </xdr:twoCellAnchor>
  <xdr:twoCellAnchor editAs="oneCell">
    <xdr:from>
      <xdr:col>3</xdr:col>
      <xdr:colOff>2060979</xdr:colOff>
      <xdr:row>11</xdr:row>
      <xdr:rowOff>155431</xdr:rowOff>
    </xdr:from>
    <xdr:to>
      <xdr:col>4</xdr:col>
      <xdr:colOff>16539</xdr:colOff>
      <xdr:row>11</xdr:row>
      <xdr:rowOff>161191</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3" name="Entrada de lápiz 22">
              <a:extLst>
                <a:ext uri="{FF2B5EF4-FFF2-40B4-BE49-F238E27FC236}">
                  <a16:creationId xmlns:a16="http://schemas.microsoft.com/office/drawing/2014/main" id="{00000000-0008-0000-0300-000017000000}"/>
                </a:ext>
              </a:extLst>
            </xdr14:cNvPr>
            <xdr14:cNvContentPartPr/>
          </xdr14:nvContentPartPr>
          <xdr14:nvPr macro=""/>
          <xdr14:xfrm>
            <a:off x="2890712" y="1713298"/>
            <a:ext cx="12960" cy="5760"/>
          </xdr14:xfrm>
        </xdr:contentPart>
      </mc:Choice>
      <mc:Fallback xmlns="">
        <xdr:pic>
          <xdr:nvPicPr>
            <xdr:cNvPr id="184" name="Entrada de lápiz 183">
              <a:extLst>
                <a:ext uri="{FF2B5EF4-FFF2-40B4-BE49-F238E27FC236}">
                  <a16:creationId xmlns:a16="http://schemas.microsoft.com/office/drawing/2014/main" id="{E2A6AF26-983E-494D-B043-FDA1F6328EDF}"/>
                </a:ext>
              </a:extLst>
            </xdr:cNvPr>
            <xdr:cNvPicPr/>
          </xdr:nvPicPr>
          <xdr:blipFill>
            <a:blip xmlns:r="http://schemas.openxmlformats.org/officeDocument/2006/relationships" r:embed="rId12"/>
            <a:stretch>
              <a:fillRect/>
            </a:stretch>
          </xdr:blipFill>
          <xdr:spPr>
            <a:xfrm>
              <a:off x="2883152" y="1705738"/>
              <a:ext cx="28080" cy="20880"/>
            </a:xfrm>
            <a:prstGeom prst="rect">
              <a:avLst/>
            </a:prstGeom>
          </xdr:spPr>
        </xdr:pic>
      </mc:Fallback>
    </mc:AlternateContent>
    <xdr:clientData/>
  </xdr:twoCellAnchor>
  <xdr:twoCellAnchor editAs="oneCell">
    <xdr:from>
      <xdr:col>10</xdr:col>
      <xdr:colOff>117453</xdr:colOff>
      <xdr:row>13</xdr:row>
      <xdr:rowOff>166480</xdr:rowOff>
    </xdr:from>
    <xdr:to>
      <xdr:col>10</xdr:col>
      <xdr:colOff>633693</xdr:colOff>
      <xdr:row>14</xdr:row>
      <xdr:rowOff>100</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24" name="Entrada de lápiz 23">
              <a:extLst>
                <a:ext uri="{FF2B5EF4-FFF2-40B4-BE49-F238E27FC236}">
                  <a16:creationId xmlns:a16="http://schemas.microsoft.com/office/drawing/2014/main" id="{00000000-0008-0000-0300-000018000000}"/>
                </a:ext>
              </a:extLst>
            </xdr14:cNvPr>
            <xdr14:cNvContentPartPr/>
          </xdr14:nvContentPartPr>
          <xdr14:nvPr macro=""/>
          <xdr14:xfrm>
            <a:off x="10057320" y="2706480"/>
            <a:ext cx="516240" cy="24120"/>
          </xdr14:xfrm>
        </xdr:contentPart>
      </mc:Choice>
      <mc:Fallback xmlns="">
        <xdr:pic>
          <xdr:nvPicPr>
            <xdr:cNvPr id="221" name="Entrada de lápiz 220">
              <a:extLst>
                <a:ext uri="{FF2B5EF4-FFF2-40B4-BE49-F238E27FC236}">
                  <a16:creationId xmlns:a16="http://schemas.microsoft.com/office/drawing/2014/main" id="{5D23A7B4-D39E-8249-B325-FC31252ADE6A}"/>
                </a:ext>
              </a:extLst>
            </xdr:cNvPr>
            <xdr:cNvPicPr/>
          </xdr:nvPicPr>
          <xdr:blipFill>
            <a:blip xmlns:r="http://schemas.openxmlformats.org/officeDocument/2006/relationships" r:embed="rId14"/>
            <a:stretch>
              <a:fillRect/>
            </a:stretch>
          </xdr:blipFill>
          <xdr:spPr>
            <a:xfrm>
              <a:off x="10050120" y="2698920"/>
              <a:ext cx="531360" cy="39240"/>
            </a:xfrm>
            <a:prstGeom prst="rect">
              <a:avLst/>
            </a:prstGeom>
          </xdr:spPr>
        </xdr:pic>
      </mc:Fallback>
    </mc:AlternateContent>
    <xdr:clientData/>
  </xdr:twoCellAnchor>
  <xdr:oneCellAnchor>
    <xdr:from>
      <xdr:col>9</xdr:col>
      <xdr:colOff>486946</xdr:colOff>
      <xdr:row>10</xdr:row>
      <xdr:rowOff>302451</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25" name="Entrada de lápiz 24">
              <a:extLst>
                <a:ext uri="{FF2B5EF4-FFF2-40B4-BE49-F238E27FC236}">
                  <a16:creationId xmlns:a16="http://schemas.microsoft.com/office/drawing/2014/main" id="{00000000-0008-0000-0300-000019000000}"/>
                </a:ext>
              </a:extLst>
            </xdr14:cNvPr>
            <xdr14:cNvContentPartPr/>
          </xdr14:nvContentPartPr>
          <xdr14:nvPr macro=""/>
          <xdr14:xfrm>
            <a:off x="8840520" y="1467000"/>
            <a:ext cx="360" cy="360"/>
          </xdr14:xfrm>
        </xdr:contentPart>
      </mc:Choice>
      <mc:Fallback xmlns="">
        <xdr:pic>
          <xdr:nvPicPr>
            <xdr:cNvPr id="223" name="Entrada de lápiz 222">
              <a:extLst>
                <a:ext uri="{FF2B5EF4-FFF2-40B4-BE49-F238E27FC236}">
                  <a16:creationId xmlns:a16="http://schemas.microsoft.com/office/drawing/2014/main" id="{147DDE6D-FC94-2745-8620-E0DB5C75405C}"/>
                </a:ext>
              </a:extLst>
            </xdr:cNvPr>
            <xdr:cNvPicPr/>
          </xdr:nvPicPr>
          <xdr:blipFill>
            <a:blip xmlns:r="http://schemas.openxmlformats.org/officeDocument/2006/relationships" r:embed="rId5"/>
            <a:stretch>
              <a:fillRect/>
            </a:stretch>
          </xdr:blipFill>
          <xdr:spPr>
            <a:xfrm>
              <a:off x="8836200" y="1462680"/>
              <a:ext cx="9000" cy="9000"/>
            </a:xfrm>
            <a:prstGeom prst="rect">
              <a:avLst/>
            </a:prstGeom>
          </xdr:spPr>
        </xdr:pic>
      </mc:Fallback>
    </mc:AlternateContent>
    <xdr:clientData/>
  </xdr:oneCellAnchor>
  <xdr:oneCellAnchor>
    <xdr:from>
      <xdr:col>9</xdr:col>
      <xdr:colOff>906346</xdr:colOff>
      <xdr:row>10</xdr:row>
      <xdr:rowOff>263571</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
          <xdr14:nvContentPartPr>
            <xdr14:cNvPr id="26" name="Entrada de lápiz 25">
              <a:extLst>
                <a:ext uri="{FF2B5EF4-FFF2-40B4-BE49-F238E27FC236}">
                  <a16:creationId xmlns:a16="http://schemas.microsoft.com/office/drawing/2014/main" id="{00000000-0008-0000-0300-00001A000000}"/>
                </a:ext>
              </a:extLst>
            </xdr14:cNvPr>
            <xdr14:cNvContentPartPr/>
          </xdr14:nvContentPartPr>
          <xdr14:nvPr macro=""/>
          <xdr14:xfrm>
            <a:off x="9259920" y="1428120"/>
            <a:ext cx="360" cy="360"/>
          </xdr14:xfrm>
        </xdr:contentPart>
      </mc:Choice>
      <mc:Fallback xmlns="">
        <xdr:pic>
          <xdr:nvPicPr>
            <xdr:cNvPr id="224" name="Entrada de lápiz 223">
              <a:extLst>
                <a:ext uri="{FF2B5EF4-FFF2-40B4-BE49-F238E27FC236}">
                  <a16:creationId xmlns:a16="http://schemas.microsoft.com/office/drawing/2014/main" id="{84253568-953C-E945-A196-7EC8A603E021}"/>
                </a:ext>
              </a:extLst>
            </xdr:cNvPr>
            <xdr:cNvPicPr/>
          </xdr:nvPicPr>
          <xdr:blipFill>
            <a:blip xmlns:r="http://schemas.openxmlformats.org/officeDocument/2006/relationships" r:embed="rId7"/>
            <a:stretch>
              <a:fillRect/>
            </a:stretch>
          </xdr:blipFill>
          <xdr:spPr>
            <a:xfrm>
              <a:off x="9255600" y="1423800"/>
              <a:ext cx="9000" cy="9000"/>
            </a:xfrm>
            <a:prstGeom prst="rect">
              <a:avLst/>
            </a:prstGeom>
          </xdr:spPr>
        </xdr:pic>
      </mc:Fallback>
    </mc:AlternateContent>
    <xdr:clientData/>
  </xdr:oneCellAnchor>
  <xdr:oneCellAnchor>
    <xdr:from>
      <xdr:col>9</xdr:col>
      <xdr:colOff>486946</xdr:colOff>
      <xdr:row>26</xdr:row>
      <xdr:rowOff>302451</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
          <xdr14:nvContentPartPr>
            <xdr14:cNvPr id="27" name="Entrada de lápiz 26">
              <a:extLst>
                <a:ext uri="{FF2B5EF4-FFF2-40B4-BE49-F238E27FC236}">
                  <a16:creationId xmlns:a16="http://schemas.microsoft.com/office/drawing/2014/main" id="{00000000-0008-0000-0300-00001B000000}"/>
                </a:ext>
              </a:extLst>
            </xdr14:cNvPr>
            <xdr14:cNvContentPartPr/>
          </xdr14:nvContentPartPr>
          <xdr14:nvPr macro=""/>
          <xdr14:xfrm>
            <a:off x="8840520" y="1467000"/>
            <a:ext cx="360" cy="360"/>
          </xdr14:xfrm>
        </xdr:contentPart>
      </mc:Choice>
      <mc:Fallback xmlns="">
        <xdr:pic>
          <xdr:nvPicPr>
            <xdr:cNvPr id="18" name="Entrada de lápiz 17">
              <a:extLst>
                <a:ext uri="{FF2B5EF4-FFF2-40B4-BE49-F238E27FC236}">
                  <a16:creationId xmlns:a16="http://schemas.microsoft.com/office/drawing/2014/main" id="{7C5471E1-804E-8F4E-95F4-A1891B8E97B9}"/>
                </a:ext>
              </a:extLst>
            </xdr:cNvPr>
            <xdr:cNvPicPr/>
          </xdr:nvPicPr>
          <xdr:blipFill>
            <a:blip xmlns:r="http://schemas.openxmlformats.org/officeDocument/2006/relationships" r:embed="rId5"/>
            <a:stretch>
              <a:fillRect/>
            </a:stretch>
          </xdr:blipFill>
          <xdr:spPr>
            <a:xfrm>
              <a:off x="8836200" y="1462680"/>
              <a:ext cx="9000" cy="9000"/>
            </a:xfrm>
            <a:prstGeom prst="rect">
              <a:avLst/>
            </a:prstGeom>
          </xdr:spPr>
        </xdr:pic>
      </mc:Fallback>
    </mc:AlternateContent>
    <xdr:clientData/>
  </xdr:oneCellAnchor>
  <xdr:oneCellAnchor>
    <xdr:from>
      <xdr:col>9</xdr:col>
      <xdr:colOff>906346</xdr:colOff>
      <xdr:row>26</xdr:row>
      <xdr:rowOff>263571</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
          <xdr14:nvContentPartPr>
            <xdr14:cNvPr id="28" name="Entrada de lápiz 27">
              <a:extLst>
                <a:ext uri="{FF2B5EF4-FFF2-40B4-BE49-F238E27FC236}">
                  <a16:creationId xmlns:a16="http://schemas.microsoft.com/office/drawing/2014/main" id="{00000000-0008-0000-0300-00001C000000}"/>
                </a:ext>
              </a:extLst>
            </xdr14:cNvPr>
            <xdr14:cNvContentPartPr/>
          </xdr14:nvContentPartPr>
          <xdr14:nvPr macro=""/>
          <xdr14:xfrm>
            <a:off x="9259920" y="1428120"/>
            <a:ext cx="360" cy="360"/>
          </xdr14:xfrm>
        </xdr:contentPart>
      </mc:Choice>
      <mc:Fallback xmlns="">
        <xdr:pic>
          <xdr:nvPicPr>
            <xdr:cNvPr id="22" name="Entrada de lápiz 21">
              <a:extLst>
                <a:ext uri="{FF2B5EF4-FFF2-40B4-BE49-F238E27FC236}">
                  <a16:creationId xmlns:a16="http://schemas.microsoft.com/office/drawing/2014/main" id="{CF239469-7E68-D140-8DE0-C904502E33F2}"/>
                </a:ext>
              </a:extLst>
            </xdr:cNvPr>
            <xdr:cNvPicPr/>
          </xdr:nvPicPr>
          <xdr:blipFill>
            <a:blip xmlns:r="http://schemas.openxmlformats.org/officeDocument/2006/relationships" r:embed="rId7"/>
            <a:stretch>
              <a:fillRect/>
            </a:stretch>
          </xdr:blipFill>
          <xdr:spPr>
            <a:xfrm>
              <a:off x="9255600" y="1423800"/>
              <a:ext cx="9000" cy="9000"/>
            </a:xfrm>
            <a:prstGeom prst="rect">
              <a:avLst/>
            </a:prstGeom>
          </xdr:spPr>
        </xdr:pic>
      </mc:Fallback>
    </mc:AlternateContent>
    <xdr:clientData/>
  </xdr:oneCellAnchor>
  <xdr:oneCellAnchor>
    <xdr:from>
      <xdr:col>5</xdr:col>
      <xdr:colOff>895477</xdr:colOff>
      <xdr:row>29</xdr:row>
      <xdr:rowOff>189987</xdr:rowOff>
    </xdr:from>
    <xdr:ext cx="3960" cy="11891"/>
    <mc:AlternateContent xmlns:mc="http://schemas.openxmlformats.org/markup-compatibility/2006" xmlns:xdr14="http://schemas.microsoft.com/office/excel/2010/spreadsheetDrawing">
      <mc:Choice Requires="xdr14">
        <xdr:contentPart xmlns:r="http://schemas.openxmlformats.org/officeDocument/2006/relationships" r:id="rId19">
          <xdr14:nvContentPartPr>
            <xdr14:cNvPr id="29" name="Entrada de lápiz 28">
              <a:extLst>
                <a:ext uri="{FF2B5EF4-FFF2-40B4-BE49-F238E27FC236}">
                  <a16:creationId xmlns:a16="http://schemas.microsoft.com/office/drawing/2014/main" id="{00000000-0008-0000-0300-00001D000000}"/>
                </a:ext>
              </a:extLst>
            </xdr14:cNvPr>
            <xdr14:cNvContentPartPr/>
          </xdr14:nvContentPartPr>
          <xdr14:nvPr macro=""/>
          <xdr14:xfrm>
            <a:off x="4884856" y="2715637"/>
            <a:ext cx="3960" cy="15120"/>
          </xdr14:xfrm>
        </xdr:contentPart>
      </mc:Choice>
      <mc:Fallback xmlns="">
        <xdr:pic>
          <xdr:nvPicPr>
            <xdr:cNvPr id="38" name="Entrada de lápiz 37">
              <a:extLst>
                <a:ext uri="{FF2B5EF4-FFF2-40B4-BE49-F238E27FC236}">
                  <a16:creationId xmlns:a16="http://schemas.microsoft.com/office/drawing/2014/main" id="{F3FDB471-F5FC-894A-B8E6-B0DCE8A6475C}"/>
                </a:ext>
              </a:extLst>
            </xdr:cNvPr>
            <xdr:cNvPicPr/>
          </xdr:nvPicPr>
          <xdr:blipFill>
            <a:blip xmlns:r="http://schemas.openxmlformats.org/officeDocument/2006/relationships" r:embed="rId9"/>
            <a:stretch>
              <a:fillRect/>
            </a:stretch>
          </xdr:blipFill>
          <xdr:spPr>
            <a:xfrm>
              <a:off x="4877296" y="2708077"/>
              <a:ext cx="19080" cy="30240"/>
            </a:xfrm>
            <a:prstGeom prst="rect">
              <a:avLst/>
            </a:prstGeom>
          </xdr:spPr>
        </xdr:pic>
      </mc:Fallback>
    </mc:AlternateContent>
    <xdr:clientData/>
  </xdr:oneCellAnchor>
  <xdr:oneCellAnchor>
    <xdr:from>
      <xdr:col>7</xdr:col>
      <xdr:colOff>559563</xdr:colOff>
      <xdr:row>31</xdr:row>
      <xdr:rowOff>77080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
          <xdr14:nvContentPartPr>
            <xdr14:cNvPr id="30" name="Entrada de lápiz 29">
              <a:extLst>
                <a:ext uri="{FF2B5EF4-FFF2-40B4-BE49-F238E27FC236}">
                  <a16:creationId xmlns:a16="http://schemas.microsoft.com/office/drawing/2014/main" id="{00000000-0008-0000-0300-00001E000000}"/>
                </a:ext>
              </a:extLst>
            </xdr14:cNvPr>
            <xdr14:cNvContentPartPr/>
          </xdr14:nvContentPartPr>
          <xdr14:nvPr macro=""/>
          <xdr14:xfrm>
            <a:off x="6731640" y="2954520"/>
            <a:ext cx="360" cy="360"/>
          </xdr14:xfrm>
        </xdr:contentPart>
      </mc:Choice>
      <mc:Fallback xmlns="">
        <xdr:pic>
          <xdr:nvPicPr>
            <xdr:cNvPr id="58" name="Entrada de lápiz 57">
              <a:extLst>
                <a:ext uri="{FF2B5EF4-FFF2-40B4-BE49-F238E27FC236}">
                  <a16:creationId xmlns:a16="http://schemas.microsoft.com/office/drawing/2014/main" id="{A062CCA2-9F89-874E-8D59-15AF09207FDD}"/>
                </a:ext>
              </a:extLst>
            </xdr:cNvPr>
            <xdr:cNvPicPr/>
          </xdr:nvPicPr>
          <xdr:blipFill>
            <a:blip xmlns:r="http://schemas.openxmlformats.org/officeDocument/2006/relationships" r:embed="rId7"/>
            <a:stretch>
              <a:fillRect/>
            </a:stretch>
          </xdr:blipFill>
          <xdr:spPr>
            <a:xfrm>
              <a:off x="6727320" y="2950200"/>
              <a:ext cx="9000" cy="9000"/>
            </a:xfrm>
            <a:prstGeom prst="rect">
              <a:avLst/>
            </a:prstGeom>
          </xdr:spPr>
        </xdr:pic>
      </mc:Fallback>
    </mc:AlternateContent>
    <xdr:clientData/>
  </xdr:oneCellAnchor>
  <xdr:oneCellAnchor>
    <xdr:from>
      <xdr:col>3</xdr:col>
      <xdr:colOff>2060979</xdr:colOff>
      <xdr:row>27</xdr:row>
      <xdr:rowOff>155431</xdr:rowOff>
    </xdr:from>
    <xdr:ext cx="12960" cy="5760"/>
    <mc:AlternateContent xmlns:mc="http://schemas.openxmlformats.org/markup-compatibility/2006" xmlns:xdr14="http://schemas.microsoft.com/office/excel/2010/spreadsheetDrawing">
      <mc:Choice Requires="xdr14">
        <xdr:contentPart xmlns:r="http://schemas.openxmlformats.org/officeDocument/2006/relationships" r:id="rId21">
          <xdr14:nvContentPartPr>
            <xdr14:cNvPr id="31" name="Entrada de lápiz 30">
              <a:extLst>
                <a:ext uri="{FF2B5EF4-FFF2-40B4-BE49-F238E27FC236}">
                  <a16:creationId xmlns:a16="http://schemas.microsoft.com/office/drawing/2014/main" id="{00000000-0008-0000-0300-00001F000000}"/>
                </a:ext>
              </a:extLst>
            </xdr14:cNvPr>
            <xdr14:cNvContentPartPr/>
          </xdr14:nvContentPartPr>
          <xdr14:nvPr macro=""/>
          <xdr14:xfrm>
            <a:off x="2890712" y="1713298"/>
            <a:ext cx="12960" cy="5760"/>
          </xdr14:xfrm>
        </xdr:contentPart>
      </mc:Choice>
      <mc:Fallback xmlns="">
        <xdr:pic>
          <xdr:nvPicPr>
            <xdr:cNvPr id="184" name="Entrada de lápiz 183">
              <a:extLst>
                <a:ext uri="{FF2B5EF4-FFF2-40B4-BE49-F238E27FC236}">
                  <a16:creationId xmlns:a16="http://schemas.microsoft.com/office/drawing/2014/main" id="{E2A6AF26-983E-494D-B043-FDA1F6328EDF}"/>
                </a:ext>
              </a:extLst>
            </xdr:cNvPr>
            <xdr:cNvPicPr/>
          </xdr:nvPicPr>
          <xdr:blipFill>
            <a:blip xmlns:r="http://schemas.openxmlformats.org/officeDocument/2006/relationships" r:embed="rId12"/>
            <a:stretch>
              <a:fillRect/>
            </a:stretch>
          </xdr:blipFill>
          <xdr:spPr>
            <a:xfrm>
              <a:off x="2883152" y="1705738"/>
              <a:ext cx="28080" cy="20880"/>
            </a:xfrm>
            <a:prstGeom prst="rect">
              <a:avLst/>
            </a:prstGeom>
          </xdr:spPr>
        </xdr:pic>
      </mc:Fallback>
    </mc:AlternateContent>
    <xdr:clientData/>
  </xdr:oneCellAnchor>
  <xdr:oneCellAnchor>
    <xdr:from>
      <xdr:col>10</xdr:col>
      <xdr:colOff>117453</xdr:colOff>
      <xdr:row>29</xdr:row>
      <xdr:rowOff>166480</xdr:rowOff>
    </xdr:from>
    <xdr:ext cx="516240" cy="24120"/>
    <mc:AlternateContent xmlns:mc="http://schemas.openxmlformats.org/markup-compatibility/2006" xmlns:xdr14="http://schemas.microsoft.com/office/excel/2010/spreadsheetDrawing">
      <mc:Choice Requires="xdr14">
        <xdr:contentPart xmlns:r="http://schemas.openxmlformats.org/officeDocument/2006/relationships" r:id="rId22">
          <xdr14:nvContentPartPr>
            <xdr14:cNvPr id="32" name="Entrada de lápiz 31">
              <a:extLst>
                <a:ext uri="{FF2B5EF4-FFF2-40B4-BE49-F238E27FC236}">
                  <a16:creationId xmlns:a16="http://schemas.microsoft.com/office/drawing/2014/main" id="{00000000-0008-0000-0300-000020000000}"/>
                </a:ext>
              </a:extLst>
            </xdr14:cNvPr>
            <xdr14:cNvContentPartPr/>
          </xdr14:nvContentPartPr>
          <xdr14:nvPr macro=""/>
          <xdr14:xfrm>
            <a:off x="10057320" y="2706480"/>
            <a:ext cx="516240" cy="24120"/>
          </xdr14:xfrm>
        </xdr:contentPart>
      </mc:Choice>
      <mc:Fallback xmlns="">
        <xdr:pic>
          <xdr:nvPicPr>
            <xdr:cNvPr id="221" name="Entrada de lápiz 220">
              <a:extLst>
                <a:ext uri="{FF2B5EF4-FFF2-40B4-BE49-F238E27FC236}">
                  <a16:creationId xmlns:a16="http://schemas.microsoft.com/office/drawing/2014/main" id="{5D23A7B4-D39E-8249-B325-FC31252ADE6A}"/>
                </a:ext>
              </a:extLst>
            </xdr:cNvPr>
            <xdr:cNvPicPr/>
          </xdr:nvPicPr>
          <xdr:blipFill>
            <a:blip xmlns:r="http://schemas.openxmlformats.org/officeDocument/2006/relationships" r:embed="rId14"/>
            <a:stretch>
              <a:fillRect/>
            </a:stretch>
          </xdr:blipFill>
          <xdr:spPr>
            <a:xfrm>
              <a:off x="10050120" y="2698920"/>
              <a:ext cx="531360" cy="39240"/>
            </a:xfrm>
            <a:prstGeom prst="rect">
              <a:avLst/>
            </a:prstGeom>
          </xdr:spPr>
        </xdr:pic>
      </mc:Fallback>
    </mc:AlternateContent>
    <xdr:clientData/>
  </xdr:oneCellAnchor>
  <xdr:oneCellAnchor>
    <xdr:from>
      <xdr:col>10</xdr:col>
      <xdr:colOff>486946</xdr:colOff>
      <xdr:row>26</xdr:row>
      <xdr:rowOff>302451</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
          <xdr14:nvContentPartPr>
            <xdr14:cNvPr id="33" name="Entrada de lápiz 32">
              <a:extLst>
                <a:ext uri="{FF2B5EF4-FFF2-40B4-BE49-F238E27FC236}">
                  <a16:creationId xmlns:a16="http://schemas.microsoft.com/office/drawing/2014/main" id="{00000000-0008-0000-0300-000021000000}"/>
                </a:ext>
              </a:extLst>
            </xdr14:cNvPr>
            <xdr14:cNvContentPartPr/>
          </xdr14:nvContentPartPr>
          <xdr14:nvPr macro=""/>
          <xdr14:xfrm>
            <a:off x="8840520" y="1467000"/>
            <a:ext cx="360" cy="360"/>
          </xdr14:xfrm>
        </xdr:contentPart>
      </mc:Choice>
      <mc:Fallback xmlns="">
        <xdr:pic>
          <xdr:nvPicPr>
            <xdr:cNvPr id="223" name="Entrada de lápiz 222">
              <a:extLst>
                <a:ext uri="{FF2B5EF4-FFF2-40B4-BE49-F238E27FC236}">
                  <a16:creationId xmlns:a16="http://schemas.microsoft.com/office/drawing/2014/main" id="{147DDE6D-FC94-2745-8620-E0DB5C75405C}"/>
                </a:ext>
              </a:extLst>
            </xdr:cNvPr>
            <xdr:cNvPicPr/>
          </xdr:nvPicPr>
          <xdr:blipFill>
            <a:blip xmlns:r="http://schemas.openxmlformats.org/officeDocument/2006/relationships" r:embed="rId5"/>
            <a:stretch>
              <a:fillRect/>
            </a:stretch>
          </xdr:blipFill>
          <xdr:spPr>
            <a:xfrm>
              <a:off x="8836200" y="1462680"/>
              <a:ext cx="9000" cy="9000"/>
            </a:xfrm>
            <a:prstGeom prst="rect">
              <a:avLst/>
            </a:prstGeom>
          </xdr:spPr>
        </xdr:pic>
      </mc:Fallback>
    </mc:AlternateContent>
    <xdr:clientData/>
  </xdr:oneCellAnchor>
  <xdr:oneCellAnchor>
    <xdr:from>
      <xdr:col>10</xdr:col>
      <xdr:colOff>906346</xdr:colOff>
      <xdr:row>26</xdr:row>
      <xdr:rowOff>263571</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
          <xdr14:nvContentPartPr>
            <xdr14:cNvPr id="34" name="Entrada de lápiz 33">
              <a:extLst>
                <a:ext uri="{FF2B5EF4-FFF2-40B4-BE49-F238E27FC236}">
                  <a16:creationId xmlns:a16="http://schemas.microsoft.com/office/drawing/2014/main" id="{00000000-0008-0000-0300-000022000000}"/>
                </a:ext>
              </a:extLst>
            </xdr14:cNvPr>
            <xdr14:cNvContentPartPr/>
          </xdr14:nvContentPartPr>
          <xdr14:nvPr macro=""/>
          <xdr14:xfrm>
            <a:off x="9259920" y="1428120"/>
            <a:ext cx="360" cy="360"/>
          </xdr14:xfrm>
        </xdr:contentPart>
      </mc:Choice>
      <mc:Fallback xmlns="">
        <xdr:pic>
          <xdr:nvPicPr>
            <xdr:cNvPr id="224" name="Entrada de lápiz 223">
              <a:extLst>
                <a:ext uri="{FF2B5EF4-FFF2-40B4-BE49-F238E27FC236}">
                  <a16:creationId xmlns:a16="http://schemas.microsoft.com/office/drawing/2014/main" id="{84253568-953C-E945-A196-7EC8A603E021}"/>
                </a:ext>
              </a:extLst>
            </xdr:cNvPr>
            <xdr:cNvPicPr/>
          </xdr:nvPicPr>
          <xdr:blipFill>
            <a:blip xmlns:r="http://schemas.openxmlformats.org/officeDocument/2006/relationships" r:embed="rId7"/>
            <a:stretch>
              <a:fillRect/>
            </a:stretch>
          </xdr:blipFill>
          <xdr:spPr>
            <a:xfrm>
              <a:off x="9255600" y="1423800"/>
              <a:ext cx="9000" cy="9000"/>
            </a:xfrm>
            <a:prstGeom prst="rect">
              <a:avLst/>
            </a:prstGeom>
          </xdr:spPr>
        </xdr:pic>
      </mc:Fallback>
    </mc:AlternateContent>
    <xdr:clientData/>
  </xdr:oneCellAnchor>
  <xdr:oneCellAnchor>
    <xdr:from>
      <xdr:col>9</xdr:col>
      <xdr:colOff>906346</xdr:colOff>
      <xdr:row>10</xdr:row>
      <xdr:rowOff>263571</xdr:rowOff>
    </xdr:from>
    <xdr:ext cx="9205" cy="81283"/>
    <mc:AlternateContent xmlns:mc="http://schemas.openxmlformats.org/markup-compatibility/2006" xmlns:xdr14="http://schemas.microsoft.com/office/excel/2010/spreadsheetDrawing">
      <mc:Choice Requires="xdr14">
        <xdr:contentPart xmlns:r="http://schemas.openxmlformats.org/officeDocument/2006/relationships" r:id="rId25">
          <xdr14:nvContentPartPr>
            <xdr14:cNvPr id="35" name="Entrada de lápiz 34">
              <a:extLst>
                <a:ext uri="{FF2B5EF4-FFF2-40B4-BE49-F238E27FC236}">
                  <a16:creationId xmlns:a16="http://schemas.microsoft.com/office/drawing/2014/main" id="{00000000-0008-0000-0300-000023000000}"/>
                </a:ext>
              </a:extLst>
            </xdr14:cNvPr>
            <xdr14:cNvContentPartPr/>
          </xdr14:nvContentPartPr>
          <xdr14:nvPr macro=""/>
          <xdr14:xfrm>
            <a:off x="9259920" y="1428120"/>
            <a:ext cx="360" cy="360"/>
          </xdr14:xfrm>
        </xdr:contentPart>
      </mc:Choice>
      <mc:Fallback xmlns="">
        <xdr:pic>
          <xdr:nvPicPr>
            <xdr:cNvPr id="22" name="Entrada de lápiz 21">
              <a:extLst>
                <a:ext uri="{FF2B5EF4-FFF2-40B4-BE49-F238E27FC236}">
                  <a16:creationId xmlns:a16="http://schemas.microsoft.com/office/drawing/2014/main" id="{CF239469-7E68-D140-8DE0-C904502E33F2}"/>
                </a:ext>
              </a:extLst>
            </xdr:cNvPr>
            <xdr:cNvPicPr/>
          </xdr:nvPicPr>
          <xdr:blipFill>
            <a:blip xmlns:r="http://schemas.openxmlformats.org/officeDocument/2006/relationships" r:embed="rId7"/>
            <a:stretch>
              <a:fillRect/>
            </a:stretch>
          </xdr:blipFill>
          <xdr:spPr>
            <a:xfrm>
              <a:off x="9255600" y="1423800"/>
              <a:ext cx="9000" cy="900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342900</xdr:colOff>
          <xdr:row>0</xdr:row>
          <xdr:rowOff>114300</xdr:rowOff>
        </xdr:from>
        <xdr:to>
          <xdr:col>5</xdr:col>
          <xdr:colOff>276225</xdr:colOff>
          <xdr:row>4</xdr:row>
          <xdr:rowOff>76200</xdr:rowOff>
        </xdr:to>
        <xdr:sp macro="" textlink="">
          <xdr:nvSpPr>
            <xdr:cNvPr id="7170" name="CommandButton1"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559563</xdr:colOff>
      <xdr:row>10</xdr:row>
      <xdr:rowOff>77080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3" name="Entrada de lápiz 2">
              <a:extLst>
                <a:ext uri="{FF2B5EF4-FFF2-40B4-BE49-F238E27FC236}">
                  <a16:creationId xmlns:a16="http://schemas.microsoft.com/office/drawing/2014/main" id="{00000000-0008-0000-0500-000003000000}"/>
                </a:ext>
              </a:extLst>
            </xdr14:cNvPr>
            <xdr14:cNvContentPartPr/>
          </xdr14:nvContentPartPr>
          <xdr14:nvPr macro=""/>
          <xdr14:xfrm>
            <a:off x="6731640" y="2954520"/>
            <a:ext cx="360" cy="360"/>
          </xdr14:xfrm>
        </xdr:contentPart>
      </mc:Choice>
      <mc:Fallback xmlns="">
        <xdr:pic>
          <xdr:nvPicPr>
            <xdr:cNvPr id="58" name="Entrada de lápiz 57">
              <a:extLst>
                <a:ext uri="{FF2B5EF4-FFF2-40B4-BE49-F238E27FC236}">
                  <a16:creationId xmlns:a16="http://schemas.microsoft.com/office/drawing/2014/main" id="{A062CCA2-9F89-874E-8D59-15AF09207FDD}"/>
                </a:ext>
              </a:extLst>
            </xdr:cNvPr>
            <xdr:cNvPicPr/>
          </xdr:nvPicPr>
          <xdr:blipFill>
            <a:blip xmlns:r="http://schemas.openxmlformats.org/officeDocument/2006/relationships" r:embed="rId7"/>
            <a:stretch>
              <a:fillRect/>
            </a:stretch>
          </xdr:blipFill>
          <xdr:spPr>
            <a:xfrm>
              <a:off x="6727320" y="2950200"/>
              <a:ext cx="9000" cy="9000"/>
            </a:xfrm>
            <a:prstGeom prst="rect">
              <a:avLst/>
            </a:prstGeom>
          </xdr:spPr>
        </xdr:pic>
      </mc:Fallback>
    </mc:AlternateContent>
    <xdr:clientData/>
  </xdr:one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0-05-21T07:00:46.345"/>
    </inkml:context>
    <inkml:brush xml:id="br0">
      <inkml:brushProperty name="width" value="0.025" units="cm"/>
      <inkml:brushProperty name="height" value="0.025" units="cm"/>
      <inkml:brushProperty name="color" value="#E71224"/>
    </inkml:brush>
  </inkml:definitions>
  <inkml:trace contextRef="#ctx0" brushRef="#br0">0 1 24575,'0'0'0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0-05-21T07:00:46.346"/>
    </inkml:context>
    <inkml:brush xml:id="br0">
      <inkml:brushProperty name="width" value="0.025" units="cm"/>
      <inkml:brushProperty name="height" value="0.025" units="cm"/>
      <inkml:brushProperty name="color" value="#E71224"/>
    </inkml:brush>
  </inkml:definitions>
  <inkml:trace contextRef="#ctx0" brushRef="#br0">1 0 24575,'0'0'0</inkml:trace>
  <inkml:trace contextRef="#ctx0" brushRef="#br0" timeOffset="1">1 0 24575,'0'0'0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0-05-21T07:00:46.348"/>
    </inkml:context>
    <inkml:brush xml:id="br0">
      <inkml:brushProperty name="width" value="0.04286" units="cm"/>
      <inkml:brushProperty name="height" value="0.04286" units="cm"/>
      <inkml:brushProperty name="color" value="#E71224"/>
    </inkml:brush>
  </inkml:definitions>
  <inkml:trace contextRef="#ctx0" brushRef="#br0">1 275 5958,'5'9'-11,"0"-2"-1,-5-7 35,0 0 10,-1 9 35,1-6 32,-2 7-88,2-9-158,0-1 146,0 1 0,0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0-05-21T07:00:46.349"/>
    </inkml:context>
    <inkml:brush xml:id="br0">
      <inkml:brushProperty name="width" value="0.025" units="cm"/>
      <inkml:brushProperty name="height" value="0.025" units="cm"/>
      <inkml:brushProperty name="color" value="#E71224"/>
    </inkml:brush>
  </inkml:definitions>
  <inkml:trace contextRef="#ctx0" brushRef="#br0">0 0 24575,'0'0'0</inkml:trace>
  <inkml:trace contextRef="#ctx0" brushRef="#br0" timeOffset="1">0 0 24575,'0'0'0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0-05-21T07:00:46.351"/>
    </inkml:context>
    <inkml:brush xml:id="br0">
      <inkml:brushProperty name="width" value="0.04286" units="cm"/>
      <inkml:brushProperty name="height" value="0.04286" units="cm"/>
      <inkml:brushProperty name="color" value="#E71224"/>
    </inkml:brush>
  </inkml:definitions>
  <inkml:trace contextRef="#ctx0" brushRef="#br0">86 2178 6339,'-5'-8'-605,"1"2"605,4 6 0,0 0 89,-3 4-89,1-3-89,-5 4 89,1-4 0,2 1 0,0-2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0-05-21T07:00:46.352"/>
    </inkml:context>
    <inkml:brush xml:id="br0">
      <inkml:brushProperty name="width" value="0.04286" units="cm"/>
      <inkml:brushProperty name="height" value="0.04286" units="cm"/>
      <inkml:brushProperty name="color" value="#E71224"/>
    </inkml:brush>
  </inkml:definitions>
  <inkml:trace contextRef="#ctx0" brushRef="#br0">16185 5028 10193,'-8'-4'1132,"2"1"-202,6 3-717,0 0-101,0-1 280,0 1-1064,0-2-1391,2 2-849,5-1 2912,5-1 0,-3 0 0,-1 0 0</inkml:trace>
  <inkml:trace contextRef="#ctx0" brushRef="#br0" timeOffset="1">16866 5011 11885,'2'1'1569,"-1"0"-158,-1-1-1411,12 0 79,-9 0-79,10 0-135,-13 0-1669,0 0-268,1 0-763,3 0 2835,1 0 0,-1 0 0,-1 0 0</inkml:trace>
  <inkml:trace contextRef="#ctx0" brushRef="#br0" timeOffset="2">17173 5028 9577,'7'0'796,"-2"0"88,-5 0-727,0 0-246,14 0-281,-5 1-784,13-1-1771,-5 0 2925,0 0 0,-7 0 0,-2 0 0</inkml:trace>
  <inkml:trace contextRef="#ctx0" brushRef="#br0" timeOffset="3">17531 4976 9935,'1'2'-381,"-1"0"-504,0-2 885,32-8 0,-24 6 0,25-5 0</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0-05-21T07:00:46.356"/>
    </inkml:context>
    <inkml:brush xml:id="br0">
      <inkml:brushProperty name="width" value="0.025" units="cm"/>
      <inkml:brushProperty name="height" value="0.025" units="cm"/>
      <inkml:brushProperty name="color" value="#E71224"/>
    </inkml:brush>
  </inkml:definitions>
  <inkml:trace contextRef="#ctx0" brushRef="#br0">0 1 24575,'0'0'0</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0-05-21T07:00:46.357"/>
    </inkml:context>
    <inkml:brush xml:id="br0">
      <inkml:brushProperty name="width" value="0.025" units="cm"/>
      <inkml:brushProperty name="height" value="0.025" units="cm"/>
      <inkml:brushProperty name="color" value="#E71224"/>
    </inkml:brush>
  </inkml:definitions>
  <inkml:trace contextRef="#ctx0" brushRef="#br0">1 0 24575,'0'0'0</inkml:trace>
  <inkml:trace contextRef="#ctx0" brushRef="#br0" timeOffset="1">1 0 24575,'0'0'0</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0-05-21T07:00:46.359"/>
    </inkml:context>
    <inkml:brush xml:id="br0">
      <inkml:brushProperty name="width" value="0.025" units="cm"/>
      <inkml:brushProperty name="height" value="0.025" units="cm"/>
      <inkml:brushProperty name="color" value="#E71224"/>
    </inkml:brush>
  </inkml:definitions>
  <inkml:trace contextRef="#ctx0" brushRef="#br0">0 1 24575,'0'0'0</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0-05-21T07:00:46.360"/>
    </inkml:context>
    <inkml:brush xml:id="br0">
      <inkml:brushProperty name="width" value="0.025" units="cm"/>
      <inkml:brushProperty name="height" value="0.025" units="cm"/>
      <inkml:brushProperty name="color" value="#E71224"/>
    </inkml:brush>
  </inkml:definitions>
  <inkml:trace contextRef="#ctx0" brushRef="#br0">1 0 24575,'0'0'0</inkml:trace>
  <inkml:trace contextRef="#ctx0" brushRef="#br0" timeOffset="1">1 0 24575,'0'0'0</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0-05-21T07:00:46.362"/>
    </inkml:context>
    <inkml:brush xml:id="br0">
      <inkml:brushProperty name="width" value="0.04286" units="cm"/>
      <inkml:brushProperty name="height" value="0.04286" units="cm"/>
      <inkml:brushProperty name="color" value="#E71224"/>
    </inkml:brush>
  </inkml:definitions>
  <inkml:trace contextRef="#ctx0" brushRef="#br0">1 275 5958,'5'9'-11,"0"-2"-1,-5-7 35,0 0 10,-1 9 35,1-6 32,-2 7-88,2-9-158,0-1 146,0 1 0,0 0 0</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0-05-21T07:00:46.363"/>
    </inkml:context>
    <inkml:brush xml:id="br0">
      <inkml:brushProperty name="width" value="0.025" units="cm"/>
      <inkml:brushProperty name="height" value="0.025" units="cm"/>
      <inkml:brushProperty name="color" value="#E71224"/>
    </inkml:brush>
  </inkml:definitions>
  <inkml:trace contextRef="#ctx0" brushRef="#br0">0 0 24575,'0'0'0</inkml:trace>
  <inkml:trace contextRef="#ctx0" brushRef="#br0" timeOffset="1">0 0 24575,'0'0'0</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0-05-21T07:00:46.365"/>
    </inkml:context>
    <inkml:brush xml:id="br0">
      <inkml:brushProperty name="width" value="0.04286" units="cm"/>
      <inkml:brushProperty name="height" value="0.04286" units="cm"/>
      <inkml:brushProperty name="color" value="#E71224"/>
    </inkml:brush>
  </inkml:definitions>
  <inkml:trace contextRef="#ctx0" brushRef="#br0">86 2178 6339,'-5'-8'-605,"1"2"605,4 6 0,0 0 89,-3 4-89,1-3-89,-5 4 89,1-4 0,2 1 0,0-2 0</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0-05-21T07:00:46.366"/>
    </inkml:context>
    <inkml:brush xml:id="br0">
      <inkml:brushProperty name="width" value="0.04286" units="cm"/>
      <inkml:brushProperty name="height" value="0.04286" units="cm"/>
      <inkml:brushProperty name="color" value="#E71224"/>
    </inkml:brush>
  </inkml:definitions>
  <inkml:trace contextRef="#ctx0" brushRef="#br0">16185 5028 10193,'-8'-4'1132,"2"1"-202,6 3-717,0 0-101,0-1 280,0 1-1064,0-2-1391,2 2-849,5-1 2912,5-1 0,-3 0 0,-1 0 0</inkml:trace>
  <inkml:trace contextRef="#ctx0" brushRef="#br0" timeOffset="1">16866 5011 11885,'2'1'1569,"-1"0"-158,-1-1-1411,12 0 79,-9 0-79,10 0-135,-13 0-1669,0 0-268,1 0-763,3 0 2835,1 0 0,-1 0 0,-1 0 0</inkml:trace>
  <inkml:trace contextRef="#ctx0" brushRef="#br0" timeOffset="2">17173 5028 9577,'7'0'796,"-2"0"88,-5 0-727,0 0-246,14 0-281,-5 1-784,13-1-1771,-5 0 2925,0 0 0,-7 0 0,-2 0 0</inkml:trace>
  <inkml:trace contextRef="#ctx0" brushRef="#br0" timeOffset="3">17531 4976 9935,'1'2'-381,"-1"0"-504,0-2 885,32-8 0,-24 6 0,25-5 0</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0-05-21T07:00:46.370"/>
    </inkml:context>
    <inkml:brush xml:id="br0">
      <inkml:brushProperty name="width" value="0.025" units="cm"/>
      <inkml:brushProperty name="height" value="0.025" units="cm"/>
      <inkml:brushProperty name="color" value="#E71224"/>
    </inkml:brush>
  </inkml:definitions>
  <inkml:trace contextRef="#ctx0" brushRef="#br0">0 1 24575,'0'0'0</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0-05-21T07:00:46.371"/>
    </inkml:context>
    <inkml:brush xml:id="br0">
      <inkml:brushProperty name="width" value="0.025" units="cm"/>
      <inkml:brushProperty name="height" value="0.025" units="cm"/>
      <inkml:brushProperty name="color" value="#E71224"/>
    </inkml:brush>
  </inkml:definitions>
  <inkml:trace contextRef="#ctx0" brushRef="#br0">1 0 24575,'0'0'0</inkml:trace>
  <inkml:trace contextRef="#ctx0" brushRef="#br0" timeOffset="1">1 0 24575,'0'0'0</inkml:trace>
</inkml:ink>
</file>

<file path=xl/ink/ink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0-05-21T10:24:05.085"/>
    </inkml:context>
    <inkml:brush xml:id="br0">
      <inkml:brushProperty name="width" value="0.025" units="cm"/>
      <inkml:brushProperty name="height" value="0.025" units="cm"/>
      <inkml:brushProperty name="color" value="#E71224"/>
    </inkml:brush>
  </inkml:definitions>
  <inkml:trace contextRef="#ctx0" brushRef="#br0">1 0 24575,'0'0'0</inkml:trace>
  <inkml:trace contextRef="#ctx0" brushRef="#br0" timeOffset="1">1 0 24575,'0'0'0</inkml:trace>
</inkml:ink>
</file>

<file path=xl/ink/ink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0-05-21T14:27:25.446"/>
    </inkml:context>
    <inkml:brush xml:id="br0">
      <inkml:brushProperty name="width" value="0.025" units="cm"/>
      <inkml:brushProperty name="height" value="0.025" units="cm"/>
      <inkml:brushProperty name="color" value="#E71224"/>
    </inkml:brush>
  </inkml:definitions>
  <inkml:trace contextRef="#ctx0" brushRef="#br0">0 0 24575,'0'0'0</inkml:trace>
  <inkml:trace contextRef="#ctx0" brushRef="#br0" timeOffset="1">0 0 24575,'0'0'0</inkml:trace>
</inkm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3.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image" Target="../media/image5.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ABCC7-C265-43AF-A254-86327BF9E70C}">
  <dimension ref="C2:P26"/>
  <sheetViews>
    <sheetView tabSelected="1" zoomScale="70" zoomScaleNormal="70" workbookViewId="0">
      <selection activeCell="R7" sqref="R7"/>
    </sheetView>
  </sheetViews>
  <sheetFormatPr baseColWidth="10" defaultRowHeight="15" x14ac:dyDescent="0.25"/>
  <cols>
    <col min="1" max="16384" width="11.42578125" style="1"/>
  </cols>
  <sheetData>
    <row r="2" spans="3:16" ht="15" customHeight="1" x14ac:dyDescent="0.25">
      <c r="C2" s="49" t="s">
        <v>60</v>
      </c>
      <c r="D2" s="49"/>
      <c r="E2" s="49"/>
      <c r="F2" s="49"/>
      <c r="G2" s="49"/>
      <c r="H2" s="49"/>
      <c r="I2" s="49"/>
      <c r="J2" s="49"/>
      <c r="K2" s="49"/>
      <c r="L2" s="49"/>
      <c r="M2" s="49"/>
      <c r="N2" s="49"/>
      <c r="O2" s="49"/>
      <c r="P2" s="49"/>
    </row>
    <row r="3" spans="3:16" x14ac:dyDescent="0.25">
      <c r="C3" s="49"/>
      <c r="D3" s="49"/>
      <c r="E3" s="49"/>
      <c r="F3" s="49"/>
      <c r="G3" s="49"/>
      <c r="H3" s="49"/>
      <c r="I3" s="49"/>
      <c r="J3" s="49"/>
      <c r="K3" s="49"/>
      <c r="L3" s="49"/>
      <c r="M3" s="49"/>
      <c r="N3" s="49"/>
      <c r="O3" s="49"/>
      <c r="P3" s="49"/>
    </row>
    <row r="4" spans="3:16" x14ac:dyDescent="0.25">
      <c r="C4" s="49"/>
      <c r="D4" s="49"/>
      <c r="E4" s="49"/>
      <c r="F4" s="49"/>
      <c r="G4" s="49"/>
      <c r="H4" s="49"/>
      <c r="I4" s="49"/>
      <c r="J4" s="49"/>
      <c r="K4" s="49"/>
      <c r="L4" s="49"/>
      <c r="M4" s="49"/>
      <c r="N4" s="49"/>
      <c r="O4" s="49"/>
      <c r="P4" s="49"/>
    </row>
    <row r="5" spans="3:16" x14ac:dyDescent="0.25">
      <c r="C5" s="49"/>
      <c r="D5" s="49"/>
      <c r="E5" s="49"/>
      <c r="F5" s="49"/>
      <c r="G5" s="49"/>
      <c r="H5" s="49"/>
      <c r="I5" s="49"/>
      <c r="J5" s="49"/>
      <c r="K5" s="49"/>
      <c r="L5" s="49"/>
      <c r="M5" s="49"/>
      <c r="N5" s="49"/>
      <c r="O5" s="49"/>
      <c r="P5" s="49"/>
    </row>
    <row r="6" spans="3:16" ht="15" customHeight="1" x14ac:dyDescent="0.25">
      <c r="C6" s="49"/>
      <c r="D6" s="49"/>
      <c r="E6" s="49"/>
      <c r="F6" s="49"/>
      <c r="G6" s="49"/>
      <c r="H6" s="49"/>
      <c r="I6" s="49"/>
      <c r="J6" s="49"/>
      <c r="K6" s="49"/>
      <c r="L6" s="49"/>
      <c r="M6" s="49"/>
      <c r="N6" s="49"/>
      <c r="O6" s="49"/>
      <c r="P6" s="49"/>
    </row>
    <row r="7" spans="3:16" x14ac:dyDescent="0.25">
      <c r="C7" s="49"/>
      <c r="D7" s="49"/>
      <c r="E7" s="49"/>
      <c r="F7" s="49"/>
      <c r="G7" s="49"/>
      <c r="H7" s="49"/>
      <c r="I7" s="49"/>
      <c r="J7" s="49"/>
      <c r="K7" s="49"/>
      <c r="L7" s="49"/>
      <c r="M7" s="49"/>
      <c r="N7" s="49"/>
      <c r="O7" s="49"/>
      <c r="P7" s="49"/>
    </row>
    <row r="8" spans="3:16" x14ac:dyDescent="0.25">
      <c r="C8" s="49"/>
      <c r="D8" s="49"/>
      <c r="E8" s="49"/>
      <c r="F8" s="49"/>
      <c r="G8" s="49"/>
      <c r="H8" s="49"/>
      <c r="I8" s="49"/>
      <c r="J8" s="49"/>
      <c r="K8" s="49"/>
      <c r="L8" s="49"/>
      <c r="M8" s="49"/>
      <c r="N8" s="49"/>
      <c r="O8" s="49"/>
      <c r="P8" s="49"/>
    </row>
    <row r="9" spans="3:16" x14ac:dyDescent="0.25">
      <c r="E9" s="47"/>
      <c r="F9" s="47"/>
      <c r="G9" s="47"/>
      <c r="H9" s="47"/>
      <c r="I9" s="47"/>
      <c r="J9" s="47"/>
      <c r="K9" s="47"/>
      <c r="L9" s="47"/>
      <c r="M9" s="47"/>
    </row>
    <row r="10" spans="3:16" x14ac:dyDescent="0.25">
      <c r="E10" s="47"/>
      <c r="F10" s="47"/>
      <c r="G10" s="47"/>
      <c r="H10" s="47"/>
      <c r="I10" s="47"/>
      <c r="J10" s="47"/>
      <c r="K10" s="47"/>
      <c r="L10" s="47"/>
      <c r="M10" s="47"/>
    </row>
    <row r="11" spans="3:16" x14ac:dyDescent="0.25">
      <c r="C11" s="50" t="s">
        <v>62</v>
      </c>
      <c r="D11" s="50"/>
      <c r="E11" s="50"/>
      <c r="F11" s="50"/>
      <c r="G11" s="50"/>
      <c r="H11" s="50"/>
      <c r="I11" s="50"/>
      <c r="J11" s="50"/>
      <c r="K11" s="50"/>
      <c r="L11" s="50"/>
      <c r="M11" s="50"/>
      <c r="N11" s="50"/>
      <c r="O11" s="50"/>
      <c r="P11" s="50"/>
    </row>
    <row r="12" spans="3:16" x14ac:dyDescent="0.25">
      <c r="C12" s="50"/>
      <c r="D12" s="50"/>
      <c r="E12" s="50"/>
      <c r="F12" s="50"/>
      <c r="G12" s="50"/>
      <c r="H12" s="50"/>
      <c r="I12" s="50"/>
      <c r="J12" s="50"/>
      <c r="K12" s="50"/>
      <c r="L12" s="50"/>
      <c r="M12" s="50"/>
      <c r="N12" s="50"/>
      <c r="O12" s="50"/>
      <c r="P12" s="50"/>
    </row>
    <row r="13" spans="3:16" x14ac:dyDescent="0.25">
      <c r="C13" s="50"/>
      <c r="D13" s="50"/>
      <c r="E13" s="50"/>
      <c r="F13" s="50"/>
      <c r="G13" s="50"/>
      <c r="H13" s="50"/>
      <c r="I13" s="50"/>
      <c r="J13" s="50"/>
      <c r="K13" s="50"/>
      <c r="L13" s="50"/>
      <c r="M13" s="50"/>
      <c r="N13" s="50"/>
      <c r="O13" s="50"/>
      <c r="P13" s="50"/>
    </row>
    <row r="14" spans="3:16" x14ac:dyDescent="0.25">
      <c r="C14" s="50"/>
      <c r="D14" s="50"/>
      <c r="E14" s="50"/>
      <c r="F14" s="50"/>
      <c r="G14" s="50"/>
      <c r="H14" s="50"/>
      <c r="I14" s="50"/>
      <c r="J14" s="50"/>
      <c r="K14" s="50"/>
      <c r="L14" s="50"/>
      <c r="M14" s="50"/>
      <c r="N14" s="50"/>
      <c r="O14" s="50"/>
      <c r="P14" s="50"/>
    </row>
    <row r="15" spans="3:16" x14ac:dyDescent="0.25">
      <c r="C15" s="50"/>
      <c r="D15" s="50"/>
      <c r="E15" s="50"/>
      <c r="F15" s="50"/>
      <c r="G15" s="50"/>
      <c r="H15" s="50"/>
      <c r="I15" s="50"/>
      <c r="J15" s="50"/>
      <c r="K15" s="50"/>
      <c r="L15" s="50"/>
      <c r="M15" s="50"/>
      <c r="N15" s="50"/>
      <c r="O15" s="50"/>
      <c r="P15" s="50"/>
    </row>
    <row r="16" spans="3:16" x14ac:dyDescent="0.25">
      <c r="C16" s="50"/>
      <c r="D16" s="50"/>
      <c r="E16" s="50"/>
      <c r="F16" s="50"/>
      <c r="G16" s="50"/>
      <c r="H16" s="50"/>
      <c r="I16" s="50"/>
      <c r="J16" s="50"/>
      <c r="K16" s="50"/>
      <c r="L16" s="50"/>
      <c r="M16" s="50"/>
      <c r="N16" s="50"/>
      <c r="O16" s="50"/>
      <c r="P16" s="50"/>
    </row>
    <row r="19" spans="3:16" ht="15" customHeight="1" x14ac:dyDescent="0.25">
      <c r="C19" s="51" t="s">
        <v>61</v>
      </c>
      <c r="D19" s="51"/>
      <c r="E19" s="51"/>
      <c r="F19" s="51"/>
      <c r="G19" s="51"/>
      <c r="H19" s="51"/>
      <c r="I19" s="51"/>
      <c r="J19" s="51"/>
      <c r="K19" s="51"/>
      <c r="L19" s="51"/>
      <c r="M19" s="51"/>
      <c r="N19" s="51"/>
      <c r="O19" s="51"/>
      <c r="P19" s="51"/>
    </row>
    <row r="20" spans="3:16" x14ac:dyDescent="0.25">
      <c r="C20" s="51"/>
      <c r="D20" s="51"/>
      <c r="E20" s="51"/>
      <c r="F20" s="51"/>
      <c r="G20" s="51"/>
      <c r="H20" s="51"/>
      <c r="I20" s="51"/>
      <c r="J20" s="51"/>
      <c r="K20" s="51"/>
      <c r="L20" s="51"/>
      <c r="M20" s="51"/>
      <c r="N20" s="51"/>
      <c r="O20" s="51"/>
      <c r="P20" s="51"/>
    </row>
    <row r="21" spans="3:16" x14ac:dyDescent="0.25">
      <c r="C21" s="51"/>
      <c r="D21" s="51"/>
      <c r="E21" s="51"/>
      <c r="F21" s="51"/>
      <c r="G21" s="51"/>
      <c r="H21" s="51"/>
      <c r="I21" s="51"/>
      <c r="J21" s="51"/>
      <c r="K21" s="51"/>
      <c r="L21" s="51"/>
      <c r="M21" s="51"/>
      <c r="N21" s="51"/>
      <c r="O21" s="51"/>
      <c r="P21" s="51"/>
    </row>
    <row r="22" spans="3:16" x14ac:dyDescent="0.25">
      <c r="C22" s="51"/>
      <c r="D22" s="51"/>
      <c r="E22" s="51"/>
      <c r="F22" s="51"/>
      <c r="G22" s="51"/>
      <c r="H22" s="51"/>
      <c r="I22" s="51"/>
      <c r="J22" s="51"/>
      <c r="K22" s="51"/>
      <c r="L22" s="51"/>
      <c r="M22" s="51"/>
      <c r="N22" s="51"/>
      <c r="O22" s="51"/>
      <c r="P22" s="51"/>
    </row>
    <row r="23" spans="3:16" x14ac:dyDescent="0.25">
      <c r="C23" s="51"/>
      <c r="D23" s="51"/>
      <c r="E23" s="51"/>
      <c r="F23" s="51"/>
      <c r="G23" s="51"/>
      <c r="H23" s="51"/>
      <c r="I23" s="51"/>
      <c r="J23" s="51"/>
      <c r="K23" s="51"/>
      <c r="L23" s="51"/>
      <c r="M23" s="51"/>
      <c r="N23" s="51"/>
      <c r="O23" s="51"/>
      <c r="P23" s="51"/>
    </row>
    <row r="24" spans="3:16" x14ac:dyDescent="0.25">
      <c r="C24" s="51"/>
      <c r="D24" s="51"/>
      <c r="E24" s="51"/>
      <c r="F24" s="51"/>
      <c r="G24" s="51"/>
      <c r="H24" s="51"/>
      <c r="I24" s="51"/>
      <c r="J24" s="51"/>
      <c r="K24" s="51"/>
      <c r="L24" s="51"/>
      <c r="M24" s="51"/>
      <c r="N24" s="51"/>
      <c r="O24" s="51"/>
      <c r="P24" s="51"/>
    </row>
    <row r="25" spans="3:16" x14ac:dyDescent="0.25">
      <c r="C25" s="48"/>
      <c r="D25" s="48"/>
      <c r="E25" s="48"/>
      <c r="F25" s="48"/>
      <c r="G25" s="48"/>
      <c r="H25" s="48"/>
      <c r="I25" s="48"/>
      <c r="J25" s="48"/>
      <c r="K25" s="48"/>
      <c r="L25" s="48"/>
      <c r="M25" s="48"/>
      <c r="N25" s="48"/>
      <c r="O25" s="48"/>
      <c r="P25" s="48"/>
    </row>
    <row r="26" spans="3:16" x14ac:dyDescent="0.25">
      <c r="C26" s="48"/>
      <c r="D26" s="48"/>
      <c r="E26" s="48"/>
      <c r="F26" s="48"/>
      <c r="G26" s="48"/>
      <c r="H26" s="48"/>
      <c r="I26" s="48"/>
      <c r="J26" s="48"/>
      <c r="K26" s="48"/>
      <c r="L26" s="48"/>
      <c r="M26" s="48"/>
      <c r="N26" s="48"/>
      <c r="O26" s="48"/>
      <c r="P26" s="48"/>
    </row>
  </sheetData>
  <mergeCells count="3">
    <mergeCell ref="C2:P8"/>
    <mergeCell ref="C11:P16"/>
    <mergeCell ref="C19:P2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C23E3-08B2-471C-81AD-E623B1705F4C}">
  <sheetPr codeName="Hoja2"/>
  <dimension ref="A2:Q20"/>
  <sheetViews>
    <sheetView workbookViewId="0">
      <selection activeCell="B18" sqref="B18"/>
    </sheetView>
  </sheetViews>
  <sheetFormatPr baseColWidth="10" defaultRowHeight="15" x14ac:dyDescent="0.25"/>
  <cols>
    <col min="1" max="1" width="20.42578125" style="1" bestFit="1" customWidth="1"/>
    <col min="2" max="16384" width="11.42578125" style="1"/>
  </cols>
  <sheetData>
    <row r="2" spans="1:17" ht="18.75" x14ac:dyDescent="0.3">
      <c r="A2" s="3" t="s">
        <v>5</v>
      </c>
      <c r="F2" s="35" t="s">
        <v>0</v>
      </c>
      <c r="G2" s="35"/>
      <c r="H2" s="35"/>
      <c r="I2" s="35"/>
    </row>
    <row r="3" spans="1:17" x14ac:dyDescent="0.25">
      <c r="A3" s="2" t="s">
        <v>6</v>
      </c>
    </row>
    <row r="7" spans="1:17" x14ac:dyDescent="0.25">
      <c r="F7" s="36" t="s">
        <v>31</v>
      </c>
      <c r="G7" s="36"/>
      <c r="H7" s="36"/>
      <c r="I7" s="36"/>
      <c r="J7" s="36"/>
      <c r="K7" s="36"/>
      <c r="L7" s="36"/>
    </row>
    <row r="8" spans="1:17" x14ac:dyDescent="0.25">
      <c r="A8" s="4" t="s">
        <v>9</v>
      </c>
      <c r="B8" s="3">
        <v>101</v>
      </c>
      <c r="G8" s="7" t="s">
        <v>28</v>
      </c>
    </row>
    <row r="9" spans="1:17" x14ac:dyDescent="0.25">
      <c r="A9" s="5" t="s">
        <v>10</v>
      </c>
      <c r="B9" s="3">
        <f>B10^2/2</f>
        <v>3.125E-2</v>
      </c>
      <c r="F9" s="7" t="s">
        <v>29</v>
      </c>
      <c r="G9" s="1">
        <v>0</v>
      </c>
      <c r="H9" s="1">
        <v>1</v>
      </c>
      <c r="I9" s="1">
        <v>2</v>
      </c>
      <c r="J9" s="1">
        <v>3</v>
      </c>
      <c r="K9" s="1">
        <v>4</v>
      </c>
      <c r="L9" s="1">
        <v>5</v>
      </c>
      <c r="M9" s="1">
        <v>6</v>
      </c>
      <c r="N9" s="1">
        <v>7</v>
      </c>
      <c r="O9" s="1">
        <v>8</v>
      </c>
      <c r="P9" s="1">
        <v>9</v>
      </c>
      <c r="Q9" s="1">
        <v>10</v>
      </c>
    </row>
    <row r="10" spans="1:17" x14ac:dyDescent="0.25">
      <c r="A10" s="5" t="s">
        <v>7</v>
      </c>
      <c r="B10" s="3">
        <v>0.25</v>
      </c>
      <c r="F10" s="7" t="s">
        <v>30</v>
      </c>
      <c r="G10" s="1">
        <v>101</v>
      </c>
      <c r="H10" s="1">
        <v>108.47340159580777</v>
      </c>
      <c r="I10" s="1">
        <v>111.84925380852675</v>
      </c>
      <c r="J10" s="1">
        <v>115.21506443817628</v>
      </c>
      <c r="K10" s="1">
        <v>117.85910541473392</v>
      </c>
      <c r="L10" s="1">
        <v>124.14413671283083</v>
      </c>
      <c r="M10" s="1">
        <v>119.26391185464063</v>
      </c>
      <c r="N10" s="1">
        <v>125.4114405486694</v>
      </c>
      <c r="O10" s="1">
        <v>124.77228443900012</v>
      </c>
      <c r="P10" s="1">
        <v>128.53830598222899</v>
      </c>
      <c r="Q10" s="1">
        <v>123.4787900042423</v>
      </c>
    </row>
    <row r="11" spans="1:17" x14ac:dyDescent="0.25">
      <c r="A11" s="4" t="s">
        <v>8</v>
      </c>
      <c r="B11" s="3">
        <v>10</v>
      </c>
    </row>
    <row r="12" spans="1:17" x14ac:dyDescent="0.25">
      <c r="A12" s="5" t="s">
        <v>14</v>
      </c>
      <c r="B12" s="11">
        <f>1/52</f>
        <v>1.9230769230769232E-2</v>
      </c>
    </row>
    <row r="13" spans="1:17" x14ac:dyDescent="0.25">
      <c r="A13" s="10"/>
    </row>
    <row r="20" spans="1:1" x14ac:dyDescent="0.25">
      <c r="A20" s="1" t="s">
        <v>32</v>
      </c>
    </row>
  </sheetData>
  <dataConsolidate/>
  <mergeCells count="2">
    <mergeCell ref="F2:I2"/>
    <mergeCell ref="F7:L7"/>
  </mergeCells>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2049" r:id="rId4" name="CommandButton1">
          <controlPr defaultSize="0" autoLine="0" r:id="rId5">
            <anchor moveWithCells="1">
              <from>
                <xdr:col>1</xdr:col>
                <xdr:colOff>638175</xdr:colOff>
                <xdr:row>1</xdr:row>
                <xdr:rowOff>114300</xdr:rowOff>
              </from>
              <to>
                <xdr:col>4</xdr:col>
                <xdr:colOff>428625</xdr:colOff>
                <xdr:row>6</xdr:row>
                <xdr:rowOff>66675</xdr:rowOff>
              </to>
            </anchor>
          </controlPr>
        </control>
      </mc:Choice>
      <mc:Fallback>
        <control shapeId="2049" r:id="rId4"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C2DF9A-2AA7-4BEE-BD41-FCA848EC24DC}">
  <sheetPr codeName="Hoja1"/>
  <dimension ref="A2:L25"/>
  <sheetViews>
    <sheetView zoomScale="90" zoomScaleNormal="90" workbookViewId="0">
      <selection activeCell="D11" sqref="D11"/>
    </sheetView>
  </sheetViews>
  <sheetFormatPr baseColWidth="10" defaultRowHeight="15" x14ac:dyDescent="0.25"/>
  <cols>
    <col min="1" max="1" width="17.5703125" style="1" bestFit="1" customWidth="1"/>
    <col min="2" max="5" width="11.42578125" style="1"/>
    <col min="6" max="6" width="20.28515625" style="1" bestFit="1" customWidth="1"/>
    <col min="7" max="16384" width="11.42578125" style="1"/>
  </cols>
  <sheetData>
    <row r="2" spans="1:12" ht="18.75" x14ac:dyDescent="0.3">
      <c r="A2" s="3" t="s">
        <v>5</v>
      </c>
      <c r="F2" s="35" t="s">
        <v>1</v>
      </c>
      <c r="G2" s="35"/>
      <c r="H2" s="35"/>
      <c r="I2" s="35"/>
    </row>
    <row r="3" spans="1:12" x14ac:dyDescent="0.25">
      <c r="A3" s="2" t="s">
        <v>6</v>
      </c>
    </row>
    <row r="7" spans="1:12" ht="15.75" thickBot="1" x14ac:dyDescent="0.3">
      <c r="F7" s="8" t="s">
        <v>18</v>
      </c>
      <c r="G7" s="7" t="s">
        <v>22</v>
      </c>
      <c r="H7" s="7" t="s">
        <v>23</v>
      </c>
      <c r="I7" s="7" t="s">
        <v>24</v>
      </c>
    </row>
    <row r="8" spans="1:12" ht="15.75" thickBot="1" x14ac:dyDescent="0.3">
      <c r="A8" s="4" t="s">
        <v>19</v>
      </c>
      <c r="B8" s="3" t="s">
        <v>33</v>
      </c>
      <c r="F8" s="13">
        <v>1.7623161552443884</v>
      </c>
      <c r="G8" s="12">
        <v>1.0507429387525293</v>
      </c>
      <c r="H8" s="9">
        <v>0.95170756149665614</v>
      </c>
      <c r="I8" s="9">
        <v>0.56335867090398961</v>
      </c>
    </row>
    <row r="9" spans="1:12" x14ac:dyDescent="0.25">
      <c r="A9" s="2" t="s">
        <v>20</v>
      </c>
      <c r="B9" s="3" t="s">
        <v>21</v>
      </c>
    </row>
    <row r="10" spans="1:12" x14ac:dyDescent="0.25">
      <c r="A10" s="4" t="s">
        <v>9</v>
      </c>
      <c r="B10" s="3">
        <v>75</v>
      </c>
      <c r="F10" s="43" t="s">
        <v>25</v>
      </c>
      <c r="G10" s="43"/>
      <c r="H10" s="43"/>
      <c r="I10" s="43"/>
      <c r="J10" s="43"/>
      <c r="K10" s="43"/>
      <c r="L10" s="43"/>
    </row>
    <row r="11" spans="1:12" x14ac:dyDescent="0.25">
      <c r="A11" s="4" t="s">
        <v>11</v>
      </c>
      <c r="B11" s="3">
        <v>75</v>
      </c>
    </row>
    <row r="12" spans="1:12" x14ac:dyDescent="0.25">
      <c r="A12" s="4" t="s">
        <v>15</v>
      </c>
      <c r="B12" s="6">
        <v>0.06</v>
      </c>
    </row>
    <row r="13" spans="1:12" x14ac:dyDescent="0.25">
      <c r="A13" s="5" t="s">
        <v>7</v>
      </c>
      <c r="B13" s="6">
        <v>0.14000000000000001</v>
      </c>
      <c r="E13" s="10" t="s">
        <v>26</v>
      </c>
      <c r="F13" s="1">
        <v>0</v>
      </c>
      <c r="G13" s="1">
        <v>1</v>
      </c>
      <c r="H13" s="1">
        <v>2</v>
      </c>
      <c r="I13" s="1">
        <v>3</v>
      </c>
      <c r="J13" s="1">
        <v>4</v>
      </c>
    </row>
    <row r="14" spans="1:12" x14ac:dyDescent="0.25">
      <c r="A14" s="5" t="s">
        <v>17</v>
      </c>
      <c r="B14" s="2" t="s">
        <v>12</v>
      </c>
      <c r="C14" s="2" t="s">
        <v>13</v>
      </c>
    </row>
    <row r="15" spans="1:12" x14ac:dyDescent="0.25">
      <c r="B15" s="3">
        <v>6</v>
      </c>
      <c r="C15" s="3">
        <v>0</v>
      </c>
      <c r="F15" s="1">
        <v>75</v>
      </c>
      <c r="G15" s="1">
        <v>78.805720406439704</v>
      </c>
      <c r="H15" s="1">
        <v>82.804554250372618</v>
      </c>
      <c r="I15" s="1">
        <v>87.006300675129765</v>
      </c>
      <c r="J15" s="1">
        <v>91.42125606137202</v>
      </c>
    </row>
    <row r="16" spans="1:12" ht="15.75" thickBot="1" x14ac:dyDescent="0.3">
      <c r="A16" s="5" t="s">
        <v>16</v>
      </c>
      <c r="B16" s="3">
        <v>4</v>
      </c>
      <c r="G16" s="1">
        <v>71.378067112249212</v>
      </c>
      <c r="H16" s="1">
        <v>75</v>
      </c>
      <c r="I16" s="1">
        <v>78.805720406439704</v>
      </c>
      <c r="J16" s="1">
        <v>82.804554250372618</v>
      </c>
    </row>
    <row r="17" spans="1:10" x14ac:dyDescent="0.25">
      <c r="A17" s="5" t="s">
        <v>14</v>
      </c>
      <c r="B17" s="3">
        <f>(1/B16)/((12*(1+C15))/B15)</f>
        <v>0.125</v>
      </c>
      <c r="C17" s="37" t="s">
        <v>27</v>
      </c>
      <c r="D17" s="38"/>
      <c r="H17" s="1">
        <v>67.931046195743363</v>
      </c>
      <c r="I17" s="1">
        <v>71.378067112249212</v>
      </c>
      <c r="J17" s="1">
        <v>75</v>
      </c>
    </row>
    <row r="18" spans="1:10" x14ac:dyDescent="0.25">
      <c r="C18" s="39"/>
      <c r="D18" s="40"/>
      <c r="I18" s="1">
        <v>64.650490324867619</v>
      </c>
      <c r="J18" s="1">
        <v>67.931046195743363</v>
      </c>
    </row>
    <row r="19" spans="1:10" ht="15.75" thickBot="1" x14ac:dyDescent="0.3">
      <c r="C19" s="41"/>
      <c r="D19" s="42"/>
      <c r="J19" s="1">
        <v>61.528360496642925</v>
      </c>
    </row>
    <row r="21" spans="1:10" x14ac:dyDescent="0.25">
      <c r="F21" s="1">
        <v>1.7623161552443884</v>
      </c>
      <c r="G21" s="1">
        <v>0.5754326498195188</v>
      </c>
      <c r="H21" s="1">
        <v>0</v>
      </c>
      <c r="I21" s="1">
        <v>0</v>
      </c>
      <c r="J21" s="1">
        <v>0</v>
      </c>
    </row>
    <row r="22" spans="1:10" x14ac:dyDescent="0.25">
      <c r="G22" s="1">
        <v>3.3239147485567178</v>
      </c>
      <c r="H22" s="1">
        <v>1.3277451218221441</v>
      </c>
      <c r="I22" s="1">
        <v>0</v>
      </c>
      <c r="J22" s="1">
        <v>0</v>
      </c>
    </row>
    <row r="23" spans="1:10" x14ac:dyDescent="0.25">
      <c r="H23" s="1">
        <v>5.9564846676939966</v>
      </c>
      <c r="I23" s="1">
        <v>3.0636202326639372</v>
      </c>
      <c r="J23" s="1">
        <v>0</v>
      </c>
    </row>
    <row r="24" spans="1:10" x14ac:dyDescent="0.25">
      <c r="I24" s="1">
        <v>9.7911970200455283</v>
      </c>
      <c r="J24" s="1">
        <v>7.0689538042566369</v>
      </c>
    </row>
    <row r="25" spans="1:10" x14ac:dyDescent="0.25">
      <c r="J25" s="1">
        <v>13.471639503357075</v>
      </c>
    </row>
  </sheetData>
  <mergeCells count="3">
    <mergeCell ref="C17:D19"/>
    <mergeCell ref="F2:I2"/>
    <mergeCell ref="F10:L10"/>
  </mergeCells>
  <dataValidations count="4">
    <dataValidation type="list" allowBlank="1" showInputMessage="1" showErrorMessage="1" sqref="B15" xr:uid="{4694DEEC-5EFF-4FDD-855D-FFCA99952ED6}">
      <formula1>"0,1,2,3,4,5,6,7,8,9,10,11,12"</formula1>
    </dataValidation>
    <dataValidation type="list" allowBlank="1" showInputMessage="1" showErrorMessage="1" sqref="C15" xr:uid="{D155FF49-4463-4006-B1AC-E49D263B8DAF}">
      <formula1>"0,1,2,3,4,5,6,7,8,9,10"</formula1>
    </dataValidation>
    <dataValidation type="list" allowBlank="1" showInputMessage="1" showErrorMessage="1" sqref="B8" xr:uid="{A73C7C8B-6E11-40C7-9A14-0C986610BFAA}">
      <formula1>"Call,Put"</formula1>
    </dataValidation>
    <dataValidation type="list" allowBlank="1" showInputMessage="1" showErrorMessage="1" sqref="B9" xr:uid="{F6593D1E-9A52-4946-B0AA-14DD88DC8EA9}">
      <formula1>"Europeo,Americano"</formula1>
    </dataValidation>
  </dataValidations>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1027" r:id="rId4" name="valuacionbinomial">
          <controlPr defaultSize="0" autoLine="0" r:id="rId5">
            <anchor moveWithCells="1">
              <from>
                <xdr:col>1</xdr:col>
                <xdr:colOff>733425</xdr:colOff>
                <xdr:row>2</xdr:row>
                <xdr:rowOff>28575</xdr:rowOff>
              </from>
              <to>
                <xdr:col>4</xdr:col>
                <xdr:colOff>552450</xdr:colOff>
                <xdr:row>6</xdr:row>
                <xdr:rowOff>123825</xdr:rowOff>
              </to>
            </anchor>
          </controlPr>
        </control>
      </mc:Choice>
      <mc:Fallback>
        <control shapeId="1027" r:id="rId4" name="valuacionbinomial"/>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5C74-6781-456A-BAAF-031FACBC6E63}">
  <sheetPr codeName="Hoja3"/>
  <dimension ref="A2:I13"/>
  <sheetViews>
    <sheetView workbookViewId="0">
      <selection activeCell="G14" sqref="G14"/>
    </sheetView>
  </sheetViews>
  <sheetFormatPr baseColWidth="10" defaultRowHeight="15" x14ac:dyDescent="0.25"/>
  <cols>
    <col min="1" max="1" width="17.5703125" style="1" bestFit="1" customWidth="1"/>
    <col min="2" max="2" width="13.85546875" style="1" customWidth="1"/>
    <col min="3" max="16384" width="11.42578125" style="1"/>
  </cols>
  <sheetData>
    <row r="2" spans="1:9" ht="21" x14ac:dyDescent="0.35">
      <c r="A2" s="3" t="s">
        <v>5</v>
      </c>
      <c r="F2" s="44" t="s">
        <v>2</v>
      </c>
      <c r="G2" s="44"/>
      <c r="H2" s="44"/>
      <c r="I2" s="44"/>
    </row>
    <row r="3" spans="1:9" x14ac:dyDescent="0.25">
      <c r="A3" s="2" t="s">
        <v>6</v>
      </c>
    </row>
    <row r="6" spans="1:9" ht="15.75" thickBot="1" x14ac:dyDescent="0.3">
      <c r="A6" s="4" t="s">
        <v>34</v>
      </c>
      <c r="B6" s="14">
        <v>0</v>
      </c>
      <c r="F6" s="7" t="s">
        <v>35</v>
      </c>
      <c r="H6" s="7" t="s">
        <v>36</v>
      </c>
      <c r="I6" s="7" t="s">
        <v>37</v>
      </c>
    </row>
    <row r="7" spans="1:9" ht="15.75" thickBot="1" x14ac:dyDescent="0.3">
      <c r="A7" s="4" t="s">
        <v>9</v>
      </c>
      <c r="B7" s="3">
        <v>100</v>
      </c>
      <c r="F7" s="13">
        <v>5.6981326797339333</v>
      </c>
      <c r="H7" s="1">
        <v>0.24112341238461268</v>
      </c>
      <c r="I7" s="1">
        <v>6.4346717087975791E-2</v>
      </c>
    </row>
    <row r="8" spans="1:9" x14ac:dyDescent="0.25">
      <c r="A8" s="4" t="s">
        <v>11</v>
      </c>
      <c r="B8" s="3">
        <v>100</v>
      </c>
    </row>
    <row r="9" spans="1:9" x14ac:dyDescent="0.25">
      <c r="A9" s="4" t="s">
        <v>15</v>
      </c>
      <c r="B9" s="15">
        <v>5.3999999999999999E-2</v>
      </c>
    </row>
    <row r="10" spans="1:9" x14ac:dyDescent="0.25">
      <c r="A10" s="5" t="s">
        <v>7</v>
      </c>
      <c r="B10" s="6">
        <v>0.25</v>
      </c>
    </row>
    <row r="11" spans="1:9" x14ac:dyDescent="0.25">
      <c r="A11" s="5" t="s">
        <v>17</v>
      </c>
      <c r="B11" s="2" t="s">
        <v>12</v>
      </c>
      <c r="C11" s="2" t="s">
        <v>13</v>
      </c>
    </row>
    <row r="12" spans="1:9" x14ac:dyDescent="0.25">
      <c r="A12" s="5"/>
      <c r="B12" s="3">
        <v>6</v>
      </c>
      <c r="C12" s="3">
        <v>0</v>
      </c>
    </row>
    <row r="13" spans="1:9" x14ac:dyDescent="0.25">
      <c r="A13" s="4" t="s">
        <v>19</v>
      </c>
      <c r="B13" s="3" t="s">
        <v>33</v>
      </c>
    </row>
  </sheetData>
  <mergeCells count="1">
    <mergeCell ref="F2:I2"/>
  </mergeCells>
  <dataValidations count="3">
    <dataValidation type="list" allowBlank="1" showInputMessage="1" showErrorMessage="1" sqref="B13" xr:uid="{86DE0B9C-48D4-4CBC-9784-F09D15150307}">
      <formula1>"Call,Put"</formula1>
    </dataValidation>
    <dataValidation type="list" allowBlank="1" showInputMessage="1" showErrorMessage="1" sqref="B12" xr:uid="{4D769BA7-5480-4FA6-B7F7-C93F586FE2A0}">
      <formula1>"0,1,2,3,4,5,6,7,8,9,10,11,12"</formula1>
    </dataValidation>
    <dataValidation type="list" allowBlank="1" showInputMessage="1" showErrorMessage="1" sqref="C12" xr:uid="{0D013432-1F9E-4966-BEDB-3B2E65BE9B7D}">
      <formula1>"0,1,2,3,4,5"</formula1>
    </dataValidation>
  </dataValidations>
  <pageMargins left="0.7" right="0.7" top="0.75" bottom="0.75" header="0.3" footer="0.3"/>
  <drawing r:id="rId1"/>
  <legacyDrawing r:id="rId2"/>
  <controls>
    <mc:AlternateContent xmlns:mc="http://schemas.openxmlformats.org/markup-compatibility/2006">
      <mc:Choice Requires="x14">
        <control shapeId="3073" r:id="rId3" name="CommandButton1">
          <controlPr defaultSize="0" autoLine="0" r:id="rId4">
            <anchor moveWithCells="1">
              <from>
                <xdr:col>2</xdr:col>
                <xdr:colOff>0</xdr:colOff>
                <xdr:row>0</xdr:row>
                <xdr:rowOff>142875</xdr:rowOff>
              </from>
              <to>
                <xdr:col>4</xdr:col>
                <xdr:colOff>561975</xdr:colOff>
                <xdr:row>4</xdr:row>
                <xdr:rowOff>104775</xdr:rowOff>
              </to>
            </anchor>
          </controlPr>
        </control>
      </mc:Choice>
      <mc:Fallback>
        <control shapeId="3073" r:id="rId3"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5B4AE9-B29C-4E86-AE88-BA8A24E31CCD}">
  <sheetPr codeName="Hoja4"/>
  <dimension ref="A2:Q43"/>
  <sheetViews>
    <sheetView topLeftCell="C1" zoomScale="90" zoomScaleNormal="90" workbookViewId="0">
      <selection activeCell="H13" sqref="H13"/>
    </sheetView>
  </sheetViews>
  <sheetFormatPr baseColWidth="10" defaultRowHeight="15" x14ac:dyDescent="0.25"/>
  <cols>
    <col min="1" max="1" width="17.5703125" style="1" bestFit="1" customWidth="1"/>
    <col min="2" max="2" width="22.85546875" style="1" bestFit="1" customWidth="1"/>
    <col min="3" max="3" width="23.85546875" style="1" bestFit="1" customWidth="1"/>
    <col min="4" max="4" width="11.42578125" style="1"/>
    <col min="5" max="5" width="6.28515625" style="1" bestFit="1" customWidth="1"/>
    <col min="6" max="6" width="11.42578125" style="1"/>
    <col min="7" max="10" width="17" style="1" bestFit="1" customWidth="1"/>
    <col min="11" max="11" width="13.7109375" style="1" bestFit="1" customWidth="1"/>
    <col min="12" max="16384" width="11.42578125" style="1"/>
  </cols>
  <sheetData>
    <row r="2" spans="1:15" ht="21" x14ac:dyDescent="0.35">
      <c r="A2" s="3" t="s">
        <v>5</v>
      </c>
      <c r="F2" s="44" t="s">
        <v>3</v>
      </c>
      <c r="G2" s="44"/>
      <c r="H2" s="44"/>
      <c r="I2" s="44"/>
    </row>
    <row r="3" spans="1:15" x14ac:dyDescent="0.25">
      <c r="A3" s="2" t="s">
        <v>6</v>
      </c>
    </row>
    <row r="4" spans="1:15" x14ac:dyDescent="0.25">
      <c r="A4" s="1" t="s">
        <v>45</v>
      </c>
    </row>
    <row r="5" spans="1:15" x14ac:dyDescent="0.25">
      <c r="A5" s="2" t="s">
        <v>26</v>
      </c>
      <c r="B5" s="1" t="s">
        <v>48</v>
      </c>
      <c r="C5" s="2">
        <v>28</v>
      </c>
      <c r="D5" s="2">
        <v>91</v>
      </c>
      <c r="E5" s="2">
        <v>182</v>
      </c>
      <c r="F5" s="2">
        <v>365</v>
      </c>
      <c r="G5" s="2">
        <v>1820</v>
      </c>
    </row>
    <row r="6" spans="1:15" x14ac:dyDescent="0.25">
      <c r="C6" s="23">
        <v>5.3900000000000003E-2</v>
      </c>
      <c r="D6" s="23">
        <v>5.28E-2</v>
      </c>
      <c r="E6" s="23">
        <v>5.0799999999999998E-2</v>
      </c>
      <c r="F6" s="23">
        <v>5.0299999999999997E-2</v>
      </c>
      <c r="G6" s="23">
        <v>5.0799999999999998E-2</v>
      </c>
    </row>
    <row r="7" spans="1:15" ht="15.75" x14ac:dyDescent="0.25">
      <c r="B7" s="1" t="s">
        <v>49</v>
      </c>
      <c r="C7" s="2">
        <v>30</v>
      </c>
      <c r="D7" s="2">
        <v>90</v>
      </c>
      <c r="E7" s="2">
        <v>180</v>
      </c>
      <c r="F7" s="2">
        <v>360</v>
      </c>
      <c r="G7" s="25">
        <v>720</v>
      </c>
      <c r="H7" s="25">
        <v>1800</v>
      </c>
    </row>
    <row r="8" spans="1:15" x14ac:dyDescent="0.25">
      <c r="C8" s="23">
        <v>8.0000000000000004E-4</v>
      </c>
      <c r="D8" s="23">
        <v>1.1999999999999999E-3</v>
      </c>
      <c r="E8" s="23">
        <v>1.4E-3</v>
      </c>
      <c r="F8" s="23">
        <v>1.6000000000000001E-3</v>
      </c>
      <c r="G8" s="23">
        <v>1.6000000000000001E-3</v>
      </c>
      <c r="H8" s="23">
        <v>3.3999999999999998E-3</v>
      </c>
    </row>
    <row r="9" spans="1:15" ht="26.25" x14ac:dyDescent="0.4">
      <c r="C9" s="18" t="s">
        <v>46</v>
      </c>
      <c r="D9" s="45" t="s">
        <v>26</v>
      </c>
      <c r="E9" s="45"/>
      <c r="F9" s="1">
        <f>C5</f>
        <v>28</v>
      </c>
      <c r="G9" s="1">
        <f>D5</f>
        <v>91</v>
      </c>
      <c r="H9" s="1">
        <f>E5</f>
        <v>182</v>
      </c>
      <c r="I9" s="1">
        <f t="shared" ref="I9:J9" si="0">F5</f>
        <v>365</v>
      </c>
      <c r="J9" s="1">
        <f t="shared" si="0"/>
        <v>1820</v>
      </c>
      <c r="L9" s="17"/>
      <c r="M9" s="17"/>
    </row>
    <row r="10" spans="1:15" x14ac:dyDescent="0.25">
      <c r="D10" s="45" t="s">
        <v>38</v>
      </c>
      <c r="E10" s="45"/>
      <c r="F10" s="19">
        <f>C6</f>
        <v>5.3900000000000003E-2</v>
      </c>
      <c r="G10" s="19">
        <f t="shared" ref="G10:J10" si="1">D6</f>
        <v>5.28E-2</v>
      </c>
      <c r="H10" s="19">
        <f t="shared" si="1"/>
        <v>5.0799999999999998E-2</v>
      </c>
      <c r="I10" s="19">
        <f t="shared" si="1"/>
        <v>5.0299999999999997E-2</v>
      </c>
      <c r="J10" s="19">
        <f t="shared" si="1"/>
        <v>5.0799999999999998E-2</v>
      </c>
      <c r="L10" s="19"/>
      <c r="M10" s="19"/>
    </row>
    <row r="11" spans="1:15" ht="21" x14ac:dyDescent="0.35">
      <c r="D11" s="45" t="s">
        <v>39</v>
      </c>
      <c r="E11" s="45"/>
      <c r="F11" s="19"/>
      <c r="G11" s="24">
        <f>(+(1+G10)^(G9/360)/(1+F10)^(F9/360))^(360/(G9-F9))-1</f>
        <v>5.2311479713600173E-2</v>
      </c>
      <c r="H11" s="24">
        <f>(+(1+H10)^(H9/360)/(1+G10)^(G9/360))^(360/(H9-G9))-1</f>
        <v>4.8803799392096225E-2</v>
      </c>
      <c r="I11" s="24">
        <f>(+(1+I10)^(I9/360)/(1+H10)^(H9/360))^(360/(I9-H9))-1</f>
        <v>4.980296820805008E-2</v>
      </c>
      <c r="J11" s="24">
        <f>(+(1+J10)^(J9/360)/(1+I10)^(I9/360))^(360/(J9-I9))-1</f>
        <v>5.0925466894036653E-2</v>
      </c>
      <c r="L11" s="19"/>
      <c r="M11" s="19"/>
    </row>
    <row r="12" spans="1:15" x14ac:dyDescent="0.25">
      <c r="F12" s="19"/>
      <c r="G12" s="19"/>
      <c r="H12" s="19"/>
      <c r="I12" s="19"/>
      <c r="J12" s="19"/>
      <c r="K12" s="19"/>
      <c r="L12" s="19"/>
      <c r="M12" s="19"/>
    </row>
    <row r="13" spans="1:15" x14ac:dyDescent="0.25">
      <c r="F13" s="19"/>
      <c r="G13" s="19"/>
      <c r="H13" s="19"/>
      <c r="I13" s="19"/>
      <c r="J13" s="19"/>
      <c r="K13" s="19"/>
      <c r="L13" s="19"/>
      <c r="M13" s="19"/>
    </row>
    <row r="14" spans="1:15" x14ac:dyDescent="0.25">
      <c r="G14" s="19"/>
      <c r="H14" s="19"/>
      <c r="I14" s="19"/>
      <c r="J14" s="19"/>
      <c r="K14" s="19"/>
      <c r="L14" s="19"/>
      <c r="M14" s="19"/>
      <c r="N14" s="19"/>
      <c r="O14" s="19"/>
    </row>
    <row r="16" spans="1:15" x14ac:dyDescent="0.25">
      <c r="C16" s="17"/>
      <c r="D16" s="17" t="s">
        <v>40</v>
      </c>
      <c r="E16" s="17"/>
      <c r="F16" s="17">
        <v>180</v>
      </c>
      <c r="G16" s="17">
        <f>2*F16</f>
        <v>360</v>
      </c>
      <c r="H16" s="21">
        <f>+G16+G16-F16</f>
        <v>540</v>
      </c>
      <c r="I16" s="21">
        <f>+H16+H16-G16</f>
        <v>720</v>
      </c>
      <c r="J16" s="21">
        <f>+I16+I16-H16</f>
        <v>900</v>
      </c>
      <c r="K16" s="21">
        <f>+J16+J16-I16</f>
        <v>1080</v>
      </c>
      <c r="L16" s="17">
        <f t="shared" ref="L16:O16" si="2">+K16+K16-J16</f>
        <v>1260</v>
      </c>
      <c r="M16" s="17">
        <f t="shared" si="2"/>
        <v>1440</v>
      </c>
      <c r="N16" s="17">
        <f t="shared" si="2"/>
        <v>1620</v>
      </c>
      <c r="O16" s="17">
        <f t="shared" si="2"/>
        <v>1800</v>
      </c>
    </row>
    <row r="17" spans="3:17" x14ac:dyDescent="0.25">
      <c r="H17" s="22"/>
      <c r="I17" s="22"/>
      <c r="J17" s="22"/>
      <c r="K17" s="22"/>
    </row>
    <row r="18" spans="3:17" x14ac:dyDescent="0.25">
      <c r="D18" s="1" t="s">
        <v>41</v>
      </c>
      <c r="F18" s="19">
        <f>+H10</f>
        <v>5.0799999999999998E-2</v>
      </c>
      <c r="G18" s="19">
        <f>H10</f>
        <v>5.0799999999999998E-2</v>
      </c>
      <c r="H18" s="16">
        <f>+I10</f>
        <v>5.0299999999999997E-2</v>
      </c>
      <c r="I18" s="16">
        <f>+I10</f>
        <v>5.0299999999999997E-2</v>
      </c>
      <c r="J18" s="16">
        <f t="shared" ref="J18:K20" si="3">+I18</f>
        <v>5.0299999999999997E-2</v>
      </c>
      <c r="K18" s="16">
        <f>+J18</f>
        <v>5.0299999999999997E-2</v>
      </c>
      <c r="L18" s="19">
        <f>K18</f>
        <v>5.0299999999999997E-2</v>
      </c>
      <c r="M18" s="19">
        <f t="shared" ref="M18:O18" si="4">L18</f>
        <v>5.0299999999999997E-2</v>
      </c>
      <c r="N18" s="19">
        <f t="shared" si="4"/>
        <v>5.0299999999999997E-2</v>
      </c>
      <c r="O18" s="19">
        <f t="shared" si="4"/>
        <v>5.0299999999999997E-2</v>
      </c>
    </row>
    <row r="19" spans="3:17" x14ac:dyDescent="0.25">
      <c r="D19" s="1" t="s">
        <v>42</v>
      </c>
      <c r="F19" s="19">
        <f>+I11</f>
        <v>4.980296820805008E-2</v>
      </c>
      <c r="G19" s="19">
        <f>+I11</f>
        <v>4.980296820805008E-2</v>
      </c>
      <c r="H19" s="16">
        <f>J11</f>
        <v>5.0925466894036653E-2</v>
      </c>
      <c r="I19" s="16">
        <f>H19</f>
        <v>5.0925466894036653E-2</v>
      </c>
      <c r="J19" s="16">
        <f t="shared" ref="J19:O19" si="5">I19</f>
        <v>5.0925466894036653E-2</v>
      </c>
      <c r="K19" s="16">
        <f t="shared" si="5"/>
        <v>5.0925466894036653E-2</v>
      </c>
      <c r="L19" s="16">
        <f t="shared" si="5"/>
        <v>5.0925466894036653E-2</v>
      </c>
      <c r="M19" s="16">
        <f t="shared" si="5"/>
        <v>5.0925466894036653E-2</v>
      </c>
      <c r="N19" s="16">
        <f t="shared" si="5"/>
        <v>5.0925466894036653E-2</v>
      </c>
      <c r="O19" s="16">
        <f t="shared" si="5"/>
        <v>5.0925466894036653E-2</v>
      </c>
    </row>
    <row r="20" spans="3:17" x14ac:dyDescent="0.25">
      <c r="D20" s="1" t="s">
        <v>43</v>
      </c>
      <c r="F20" s="17">
        <f>+H9</f>
        <v>182</v>
      </c>
      <c r="G20" s="17">
        <f>+F20</f>
        <v>182</v>
      </c>
      <c r="H20" s="21">
        <f>+I9</f>
        <v>365</v>
      </c>
      <c r="I20" s="21">
        <f>+I9</f>
        <v>365</v>
      </c>
      <c r="J20" s="21">
        <f t="shared" si="3"/>
        <v>365</v>
      </c>
      <c r="K20" s="21">
        <f t="shared" si="3"/>
        <v>365</v>
      </c>
      <c r="L20" s="21">
        <f t="shared" ref="L20" si="6">+K20</f>
        <v>365</v>
      </c>
      <c r="M20" s="21">
        <f t="shared" ref="M20" si="7">+L20</f>
        <v>365</v>
      </c>
      <c r="N20" s="21">
        <f t="shared" ref="N20" si="8">+M20</f>
        <v>365</v>
      </c>
      <c r="O20" s="21">
        <f t="shared" ref="O20" si="9">+N20</f>
        <v>365</v>
      </c>
    </row>
    <row r="21" spans="3:17" ht="15.75" thickBot="1" x14ac:dyDescent="0.3"/>
    <row r="22" spans="3:17" ht="16.5" thickBot="1" x14ac:dyDescent="0.3">
      <c r="D22" s="26" t="s">
        <v>44</v>
      </c>
      <c r="E22" s="27"/>
      <c r="F22" s="28">
        <f>+((1+F18)^(F20/360)*(1+F19)^((F16-F20)/360))^(360/F16)-1</f>
        <v>5.0811083448438321E-2</v>
      </c>
      <c r="G22" s="28">
        <f t="shared" ref="G22:O22" si="10">+((1+G18)^(G20/360)*(1+G19)^((G16-G20)/360))^(360/G16)-1</f>
        <v>5.0306904875945024E-2</v>
      </c>
      <c r="H22" s="28">
        <f t="shared" si="10"/>
        <v>5.0502656822950964E-2</v>
      </c>
      <c r="I22" s="28">
        <f t="shared" si="10"/>
        <v>5.0608343390643906E-2</v>
      </c>
      <c r="J22" s="28">
        <f t="shared" si="10"/>
        <v>5.0671760434874091E-2</v>
      </c>
      <c r="K22" s="28">
        <f t="shared" si="10"/>
        <v>5.071404059100959E-2</v>
      </c>
      <c r="L22" s="28">
        <f t="shared" si="10"/>
        <v>5.0744241744203444E-2</v>
      </c>
      <c r="M22" s="28">
        <f t="shared" si="10"/>
        <v>5.0766893178778805E-2</v>
      </c>
      <c r="N22" s="28">
        <f t="shared" si="10"/>
        <v>5.0784511298821666E-2</v>
      </c>
      <c r="O22" s="29">
        <f t="shared" si="10"/>
        <v>5.0798606007544933E-2</v>
      </c>
    </row>
    <row r="23" spans="3:17" x14ac:dyDescent="0.25">
      <c r="F23" s="1">
        <f>F22^-1</f>
        <v>19.680745462055977</v>
      </c>
    </row>
    <row r="24" spans="3:17" x14ac:dyDescent="0.25">
      <c r="F24" s="1">
        <f>(1+F22)^-1</f>
        <v>0.95164584362615212</v>
      </c>
      <c r="G24" s="1">
        <f t="shared" ref="G24:O24" si="11">(1+G22)^-1</f>
        <v>0.95210266195299653</v>
      </c>
      <c r="H24" s="1">
        <f t="shared" si="11"/>
        <v>0.95192524598111272</v>
      </c>
      <c r="I24" s="1">
        <f t="shared" si="11"/>
        <v>0.9518294864979705</v>
      </c>
      <c r="J24" s="1">
        <f t="shared" si="11"/>
        <v>0.9517720354319783</v>
      </c>
      <c r="K24" s="1">
        <f t="shared" si="11"/>
        <v>0.95173373664780969</v>
      </c>
      <c r="L24" s="1">
        <f t="shared" si="11"/>
        <v>0.95170638131695151</v>
      </c>
      <c r="M24" s="1">
        <f t="shared" si="11"/>
        <v>0.95168586533479482</v>
      </c>
      <c r="N24" s="1">
        <f t="shared" si="11"/>
        <v>0.95166990876554747</v>
      </c>
      <c r="O24" s="1">
        <f t="shared" si="11"/>
        <v>0.9516571437027771</v>
      </c>
      <c r="P24" s="1">
        <f>SUM(F24:O24)</f>
        <v>9.5177283092580911</v>
      </c>
    </row>
    <row r="25" spans="3:17" ht="26.25" x14ac:dyDescent="0.4">
      <c r="C25" s="18" t="s">
        <v>50</v>
      </c>
      <c r="D25" s="1" t="s">
        <v>26</v>
      </c>
      <c r="F25" s="1">
        <f>C7</f>
        <v>30</v>
      </c>
      <c r="G25" s="1">
        <f t="shared" ref="G25:K25" si="12">D7</f>
        <v>90</v>
      </c>
      <c r="H25" s="1">
        <f t="shared" si="12"/>
        <v>180</v>
      </c>
      <c r="I25" s="1">
        <f t="shared" si="12"/>
        <v>360</v>
      </c>
      <c r="J25" s="1">
        <f t="shared" si="12"/>
        <v>720</v>
      </c>
      <c r="K25" s="1">
        <f t="shared" si="12"/>
        <v>1800</v>
      </c>
      <c r="L25" s="17"/>
      <c r="M25" s="17"/>
      <c r="P25" s="1">
        <f>1-O24</f>
        <v>4.8342856297222903E-2</v>
      </c>
      <c r="Q25" s="1">
        <f>P25/P24</f>
        <v>5.0792431477791611E-3</v>
      </c>
    </row>
    <row r="26" spans="3:17" x14ac:dyDescent="0.25">
      <c r="D26" s="1" t="s">
        <v>47</v>
      </c>
      <c r="F26" s="1">
        <f>C8</f>
        <v>8.0000000000000004E-4</v>
      </c>
      <c r="G26" s="1">
        <f t="shared" ref="G26" si="13">D8</f>
        <v>1.1999999999999999E-3</v>
      </c>
      <c r="H26" s="1">
        <f t="shared" ref="H26" si="14">E8</f>
        <v>1.4E-3</v>
      </c>
      <c r="I26" s="1">
        <f t="shared" ref="I26" si="15">F8</f>
        <v>1.6000000000000001E-3</v>
      </c>
      <c r="J26" s="1">
        <f t="shared" ref="J26" si="16">G8</f>
        <v>1.6000000000000001E-3</v>
      </c>
      <c r="K26" s="1">
        <f t="shared" ref="K26" si="17">H8</f>
        <v>3.3999999999999998E-3</v>
      </c>
      <c r="L26" s="19"/>
      <c r="M26" s="19"/>
    </row>
    <row r="27" spans="3:17" ht="21" x14ac:dyDescent="0.35">
      <c r="D27" s="1" t="s">
        <v>39</v>
      </c>
      <c r="F27" s="19"/>
      <c r="G27" s="20">
        <f>(+(1+G26)^(G25/360)/(1+F26)^(F25/360))^(360/(G25-F25))-1</f>
        <v>1.4000599480454845E-3</v>
      </c>
      <c r="H27" s="20">
        <f>(+(1+H26)^(H25/360)/(1+G26)^(G25/360))^(360/(H25-G25))-1</f>
        <v>1.60003995205793E-3</v>
      </c>
      <c r="I27" s="20">
        <f>(+(1+I26)^(I25/360)/(1+H26)^(H25/360))^(360/(I25-H25))-1</f>
        <v>1.800039944078291E-3</v>
      </c>
      <c r="J27" s="20">
        <f>+((1+J26)^(J25/360)/(1+I26)^(I25/360))^(360/(J25-I25))-1</f>
        <v>1.6000000000000458E-3</v>
      </c>
      <c r="K27" s="20">
        <f>+((1+K26)^(K25/360)/(1+J26)^(J25/360))^(360/(K25-J25))-1</f>
        <v>4.6017967659646164E-3</v>
      </c>
      <c r="L27" s="19"/>
      <c r="M27" s="19"/>
    </row>
    <row r="28" spans="3:17" x14ac:dyDescent="0.25">
      <c r="F28" s="19"/>
      <c r="G28" s="19"/>
      <c r="H28" s="19"/>
      <c r="I28" s="19"/>
      <c r="J28" s="19"/>
      <c r="K28" s="19"/>
      <c r="L28" s="19"/>
      <c r="M28" s="19"/>
    </row>
    <row r="29" spans="3:17" x14ac:dyDescent="0.25">
      <c r="F29" s="19"/>
      <c r="G29" s="19"/>
      <c r="H29" s="19"/>
      <c r="I29" s="19"/>
      <c r="J29" s="19"/>
      <c r="K29" s="19"/>
      <c r="L29" s="19"/>
      <c r="M29" s="19"/>
    </row>
    <row r="30" spans="3:17" x14ac:dyDescent="0.25">
      <c r="G30" s="19"/>
      <c r="H30" s="19"/>
      <c r="I30" s="19"/>
      <c r="J30" s="19"/>
      <c r="K30" s="19"/>
      <c r="L30" s="19"/>
      <c r="M30" s="19"/>
      <c r="N30" s="19"/>
      <c r="O30" s="19"/>
    </row>
    <row r="32" spans="3:17" x14ac:dyDescent="0.25">
      <c r="D32" s="17" t="s">
        <v>40</v>
      </c>
      <c r="E32" s="17"/>
      <c r="F32" s="17">
        <v>180</v>
      </c>
      <c r="G32" s="17">
        <f>2*F32</f>
        <v>360</v>
      </c>
      <c r="H32" s="21">
        <f t="shared" ref="H32:O32" si="18">+G32+G32-F32</f>
        <v>540</v>
      </c>
      <c r="I32" s="21">
        <f t="shared" si="18"/>
        <v>720</v>
      </c>
      <c r="J32" s="21">
        <f t="shared" si="18"/>
        <v>900</v>
      </c>
      <c r="K32" s="21">
        <f t="shared" si="18"/>
        <v>1080</v>
      </c>
      <c r="L32" s="17">
        <f t="shared" si="18"/>
        <v>1260</v>
      </c>
      <c r="M32" s="17">
        <f t="shared" si="18"/>
        <v>1440</v>
      </c>
      <c r="N32" s="17">
        <f t="shared" si="18"/>
        <v>1620</v>
      </c>
      <c r="O32" s="17">
        <f t="shared" si="18"/>
        <v>1800</v>
      </c>
    </row>
    <row r="34" spans="4:15" x14ac:dyDescent="0.25">
      <c r="D34" s="1" t="s">
        <v>41</v>
      </c>
      <c r="F34" s="19">
        <f>+H26</f>
        <v>1.4E-3</v>
      </c>
      <c r="G34" s="19">
        <f>+F34</f>
        <v>1.4E-3</v>
      </c>
      <c r="H34" s="16">
        <f>+I26</f>
        <v>1.6000000000000001E-3</v>
      </c>
      <c r="I34" s="16">
        <f>+I26</f>
        <v>1.6000000000000001E-3</v>
      </c>
      <c r="J34" s="16">
        <f>+J26</f>
        <v>1.6000000000000001E-3</v>
      </c>
      <c r="K34" s="16">
        <f>+J34</f>
        <v>1.6000000000000001E-3</v>
      </c>
      <c r="L34" s="16">
        <f t="shared" ref="L34:O34" si="19">+K34</f>
        <v>1.6000000000000001E-3</v>
      </c>
      <c r="M34" s="16">
        <f t="shared" si="19"/>
        <v>1.6000000000000001E-3</v>
      </c>
      <c r="N34" s="16">
        <f t="shared" si="19"/>
        <v>1.6000000000000001E-3</v>
      </c>
      <c r="O34" s="16">
        <f t="shared" si="19"/>
        <v>1.6000000000000001E-3</v>
      </c>
    </row>
    <row r="35" spans="4:15" x14ac:dyDescent="0.25">
      <c r="D35" s="1" t="s">
        <v>42</v>
      </c>
      <c r="F35" s="19">
        <f>+H27</f>
        <v>1.60003995205793E-3</v>
      </c>
      <c r="G35" s="19">
        <f>+I27</f>
        <v>1.800039944078291E-3</v>
      </c>
      <c r="H35" s="16">
        <f>+J27</f>
        <v>1.6000000000000458E-3</v>
      </c>
      <c r="I35" s="16">
        <f>+J27</f>
        <v>1.6000000000000458E-3</v>
      </c>
      <c r="J35" s="16">
        <f>K27</f>
        <v>4.6017967659646164E-3</v>
      </c>
      <c r="K35" s="16">
        <f>J35</f>
        <v>4.6017967659646164E-3</v>
      </c>
      <c r="L35" s="16">
        <f t="shared" ref="L35:O35" si="20">K35</f>
        <v>4.6017967659646164E-3</v>
      </c>
      <c r="M35" s="16">
        <f t="shared" si="20"/>
        <v>4.6017967659646164E-3</v>
      </c>
      <c r="N35" s="16">
        <f t="shared" si="20"/>
        <v>4.6017967659646164E-3</v>
      </c>
      <c r="O35" s="16">
        <f t="shared" si="20"/>
        <v>4.6017967659646164E-3</v>
      </c>
    </row>
    <row r="36" spans="4:15" ht="15.75" thickBot="1" x14ac:dyDescent="0.3">
      <c r="D36" s="1" t="s">
        <v>43</v>
      </c>
      <c r="F36" s="17">
        <f>+H25</f>
        <v>180</v>
      </c>
      <c r="G36" s="17">
        <f>+F36</f>
        <v>180</v>
      </c>
      <c r="H36" s="21">
        <f>+I25</f>
        <v>360</v>
      </c>
      <c r="I36" s="21">
        <f>+I25</f>
        <v>360</v>
      </c>
      <c r="J36" s="21">
        <f>J25</f>
        <v>720</v>
      </c>
      <c r="K36" s="21">
        <f>+J36</f>
        <v>720</v>
      </c>
      <c r="L36" s="21">
        <f t="shared" ref="L36:O36" si="21">+K36</f>
        <v>720</v>
      </c>
      <c r="M36" s="21">
        <f t="shared" si="21"/>
        <v>720</v>
      </c>
      <c r="N36" s="21">
        <f t="shared" si="21"/>
        <v>720</v>
      </c>
      <c r="O36" s="21">
        <f t="shared" si="21"/>
        <v>720</v>
      </c>
    </row>
    <row r="37" spans="4:15" ht="16.5" thickBot="1" x14ac:dyDescent="0.3">
      <c r="D37" s="26" t="s">
        <v>44</v>
      </c>
      <c r="E37" s="27"/>
      <c r="F37" s="30">
        <f t="shared" ref="F37:O37" si="22">+((1+F34)^(F36/360)*(1+F35)^((F32-F36)/360))^(360/F32)-1</f>
        <v>1.4000000000000679E-3</v>
      </c>
      <c r="G37" s="30">
        <f t="shared" si="22"/>
        <v>1.6000000000000458E-3</v>
      </c>
      <c r="H37" s="30">
        <f t="shared" si="22"/>
        <v>1.6000000000000458E-3</v>
      </c>
      <c r="I37" s="30">
        <f t="shared" si="22"/>
        <v>1.6000000000000458E-3</v>
      </c>
      <c r="J37" s="30">
        <f t="shared" si="22"/>
        <v>2.1996409335012235E-3</v>
      </c>
      <c r="K37" s="30">
        <f t="shared" si="22"/>
        <v>2.5996009841586787E-3</v>
      </c>
      <c r="L37" s="30">
        <f t="shared" si="22"/>
        <v>2.885384455572737E-3</v>
      </c>
      <c r="M37" s="30">
        <f t="shared" si="22"/>
        <v>3.0997755162693874E-3</v>
      </c>
      <c r="N37" s="30">
        <f t="shared" si="22"/>
        <v>3.2665558043591947E-3</v>
      </c>
      <c r="O37" s="31">
        <f t="shared" si="22"/>
        <v>3.4000000000000696E-3</v>
      </c>
    </row>
    <row r="40" spans="4:15" x14ac:dyDescent="0.25">
      <c r="F40" s="1">
        <f>(1+F37)^-1</f>
        <v>0.99860195725983614</v>
      </c>
      <c r="G40" s="1">
        <f t="shared" ref="G40:O40" si="23">(1+G37)^-1</f>
        <v>0.99840255591054305</v>
      </c>
      <c r="H40" s="1">
        <f t="shared" si="23"/>
        <v>0.99840255591054305</v>
      </c>
      <c r="I40" s="1">
        <f t="shared" si="23"/>
        <v>0.99840255591054305</v>
      </c>
      <c r="J40" s="1">
        <f t="shared" si="23"/>
        <v>0.99780518686730679</v>
      </c>
      <c r="K40" s="1">
        <f t="shared" si="23"/>
        <v>0.99740713941876014</v>
      </c>
      <c r="L40" s="1">
        <f t="shared" si="23"/>
        <v>0.9971229170348922</v>
      </c>
      <c r="M40" s="1">
        <f t="shared" si="23"/>
        <v>0.99690980339949331</v>
      </c>
      <c r="N40" s="1">
        <f t="shared" si="23"/>
        <v>0.99674407984053626</v>
      </c>
      <c r="O40" s="1">
        <f t="shared" si="23"/>
        <v>0.9966115208291807</v>
      </c>
    </row>
    <row r="42" spans="4:15" x14ac:dyDescent="0.25">
      <c r="N42" s="1">
        <f>SUM(F40:O40)</f>
        <v>9.9764102723816332</v>
      </c>
    </row>
    <row r="43" spans="4:15" x14ac:dyDescent="0.25">
      <c r="M43" s="1">
        <f>(1-O40)/SUM(F40:O40)</f>
        <v>3.3964914015213043E-4</v>
      </c>
    </row>
  </sheetData>
  <mergeCells count="4">
    <mergeCell ref="F2:I2"/>
    <mergeCell ref="D9:E9"/>
    <mergeCell ref="D10:E10"/>
    <mergeCell ref="D11:E11"/>
  </mergeCells>
  <pageMargins left="0.7" right="0.7" top="0.75" bottom="0.75" header="0.3" footer="0.3"/>
  <ignoredErrors>
    <ignoredError sqref="K35:L35 M35:O35" formula="1"/>
  </ignoredErrors>
  <drawing r:id="rId1"/>
  <legacyDrawing r:id="rId2"/>
  <controls>
    <mc:AlternateContent xmlns:mc="http://schemas.openxmlformats.org/markup-compatibility/2006">
      <mc:Choice Requires="x14">
        <control shapeId="5121" r:id="rId3" name="CommandButton1">
          <controlPr defaultSize="0" autoLine="0" r:id="rId4">
            <anchor moveWithCells="1">
              <from>
                <xdr:col>2</xdr:col>
                <xdr:colOff>85725</xdr:colOff>
                <xdr:row>0</xdr:row>
                <xdr:rowOff>19050</xdr:rowOff>
              </from>
              <to>
                <xdr:col>3</xdr:col>
                <xdr:colOff>323850</xdr:colOff>
                <xdr:row>3</xdr:row>
                <xdr:rowOff>9525</xdr:rowOff>
              </to>
            </anchor>
          </controlPr>
        </control>
      </mc:Choice>
      <mc:Fallback>
        <control shapeId="5121" r:id="rId3"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8DB8C-C0D7-492B-AEA9-A3D42251CBCD}">
  <sheetPr codeName="Hoja6"/>
  <dimension ref="A2:Q19"/>
  <sheetViews>
    <sheetView workbookViewId="0">
      <selection activeCell="B9" sqref="B9"/>
    </sheetView>
  </sheetViews>
  <sheetFormatPr baseColWidth="10" defaultRowHeight="15" x14ac:dyDescent="0.25"/>
  <cols>
    <col min="1" max="1" width="17.5703125" style="1" bestFit="1" customWidth="1"/>
    <col min="2" max="2" width="29.140625" style="1" bestFit="1" customWidth="1"/>
    <col min="3" max="16384" width="11.42578125" style="1"/>
  </cols>
  <sheetData>
    <row r="2" spans="1:17" ht="18.75" x14ac:dyDescent="0.3">
      <c r="A2" s="3" t="s">
        <v>5</v>
      </c>
      <c r="B2" s="3"/>
      <c r="G2" s="35" t="s">
        <v>4</v>
      </c>
      <c r="H2" s="35"/>
      <c r="I2" s="35"/>
      <c r="J2" s="35"/>
    </row>
    <row r="3" spans="1:17" x14ac:dyDescent="0.25">
      <c r="A3" s="2" t="s">
        <v>6</v>
      </c>
      <c r="B3" s="2"/>
    </row>
    <row r="6" spans="1:17" x14ac:dyDescent="0.25">
      <c r="C6" s="1" t="s">
        <v>53</v>
      </c>
    </row>
    <row r="7" spans="1:17" x14ac:dyDescent="0.25">
      <c r="A7" s="10" t="s">
        <v>51</v>
      </c>
      <c r="B7" s="32">
        <v>10</v>
      </c>
      <c r="C7" s="2">
        <v>180</v>
      </c>
      <c r="D7" s="2">
        <v>360</v>
      </c>
      <c r="E7" s="2">
        <v>540</v>
      </c>
      <c r="F7" s="2">
        <v>720</v>
      </c>
      <c r="G7" s="2">
        <v>900</v>
      </c>
      <c r="H7" s="2">
        <v>1080</v>
      </c>
      <c r="I7" s="2">
        <v>1260</v>
      </c>
      <c r="J7" s="2">
        <v>1440</v>
      </c>
      <c r="K7" s="2">
        <v>1620</v>
      </c>
      <c r="L7" s="2">
        <v>1800</v>
      </c>
      <c r="M7" s="2"/>
      <c r="N7" s="2"/>
      <c r="O7" s="2"/>
      <c r="P7" s="2"/>
      <c r="Q7" s="2"/>
    </row>
    <row r="8" spans="1:17" x14ac:dyDescent="0.25">
      <c r="A8" s="46" t="s">
        <v>52</v>
      </c>
      <c r="B8" s="46"/>
      <c r="C8" s="3">
        <v>5.0811083448438321E-2</v>
      </c>
      <c r="D8" s="3">
        <v>5.0306904875945024E-2</v>
      </c>
      <c r="E8" s="3">
        <v>5.0502656822950964E-2</v>
      </c>
      <c r="F8" s="3">
        <v>5.0608343390643906E-2</v>
      </c>
      <c r="G8" s="3">
        <v>5.0671760434874091E-2</v>
      </c>
      <c r="H8" s="3">
        <v>5.071404059100959E-2</v>
      </c>
      <c r="I8" s="3">
        <v>5.0744241744203444E-2</v>
      </c>
      <c r="J8" s="3">
        <v>5.0766893178778805E-2</v>
      </c>
      <c r="K8" s="3">
        <v>5.0784511298821666E-2</v>
      </c>
      <c r="L8" s="3">
        <v>5.0798606007544933E-2</v>
      </c>
      <c r="M8" s="3"/>
      <c r="N8" s="3"/>
      <c r="O8" s="3"/>
      <c r="P8" s="3"/>
      <c r="Q8" s="3"/>
    </row>
    <row r="10" spans="1:17" x14ac:dyDescent="0.25">
      <c r="C10" s="1" t="s">
        <v>54</v>
      </c>
    </row>
    <row r="11" spans="1:17" x14ac:dyDescent="0.25">
      <c r="A11" s="10" t="s">
        <v>51</v>
      </c>
      <c r="B11" s="32">
        <v>10</v>
      </c>
      <c r="C11" s="33">
        <v>180</v>
      </c>
      <c r="D11" s="33">
        <f>2*C11</f>
        <v>360</v>
      </c>
      <c r="E11" s="34">
        <f t="shared" ref="E11:L11" si="0">+D11+D11-C11</f>
        <v>540</v>
      </c>
      <c r="F11" s="34">
        <f t="shared" si="0"/>
        <v>720</v>
      </c>
      <c r="G11" s="34">
        <f t="shared" si="0"/>
        <v>900</v>
      </c>
      <c r="H11" s="34">
        <f t="shared" si="0"/>
        <v>1080</v>
      </c>
      <c r="I11" s="33">
        <f t="shared" si="0"/>
        <v>1260</v>
      </c>
      <c r="J11" s="33">
        <f t="shared" si="0"/>
        <v>1440</v>
      </c>
      <c r="K11" s="33">
        <f t="shared" si="0"/>
        <v>1620</v>
      </c>
      <c r="L11" s="33">
        <f t="shared" si="0"/>
        <v>1800</v>
      </c>
      <c r="M11" s="2"/>
      <c r="N11" s="2"/>
      <c r="O11" s="2"/>
      <c r="P11" s="2"/>
      <c r="Q11" s="2"/>
    </row>
    <row r="12" spans="1:17" x14ac:dyDescent="0.25">
      <c r="A12" s="46" t="s">
        <v>52</v>
      </c>
      <c r="B12" s="46"/>
      <c r="C12" s="3">
        <v>1.4000000000000679E-3</v>
      </c>
      <c r="D12" s="3">
        <v>1.6000000000000458E-3</v>
      </c>
      <c r="E12" s="3">
        <v>1.6000000000000458E-3</v>
      </c>
      <c r="F12" s="3">
        <v>1.6000000000000458E-3</v>
      </c>
      <c r="G12" s="3">
        <v>2.1996409335012235E-3</v>
      </c>
      <c r="H12" s="3">
        <v>2.5996009841586787E-3</v>
      </c>
      <c r="I12" s="3">
        <v>2.885384455572737E-3</v>
      </c>
      <c r="J12" s="3">
        <v>3.0997755162693874E-3</v>
      </c>
      <c r="K12" s="3">
        <v>3.2665558043591947E-3</v>
      </c>
      <c r="L12" s="3">
        <v>3.4000000000000696E-3</v>
      </c>
      <c r="M12" s="3"/>
      <c r="N12" s="3"/>
      <c r="O12" s="3"/>
      <c r="P12" s="3"/>
      <c r="Q12" s="3"/>
    </row>
    <row r="15" spans="1:17" x14ac:dyDescent="0.25">
      <c r="B15" s="7" t="s">
        <v>55</v>
      </c>
      <c r="C15" s="3" t="s">
        <v>57</v>
      </c>
      <c r="D15" s="9">
        <v>2.5079136612135261E-2</v>
      </c>
    </row>
    <row r="16" spans="1:17" x14ac:dyDescent="0.25">
      <c r="B16" s="7" t="s">
        <v>56</v>
      </c>
      <c r="C16" s="3" t="s">
        <v>58</v>
      </c>
      <c r="D16" s="9">
        <v>3.5391623667949096E-2</v>
      </c>
    </row>
    <row r="19" spans="2:2" x14ac:dyDescent="0.25">
      <c r="B19" s="1" t="s">
        <v>59</v>
      </c>
    </row>
  </sheetData>
  <mergeCells count="3">
    <mergeCell ref="G2:J2"/>
    <mergeCell ref="A8:B8"/>
    <mergeCell ref="A12:B12"/>
  </mergeCells>
  <dataValidations count="2">
    <dataValidation type="list" allowBlank="1" showInputMessage="1" showErrorMessage="1" sqref="C15" xr:uid="{1ABE483B-41BE-4F1D-9213-3E86426E3FCB}">
      <formula1>"México,EU"</formula1>
    </dataValidation>
    <dataValidation type="list" allowBlank="1" showInputMessage="1" showErrorMessage="1" sqref="C16" xr:uid="{B3E8ACC2-1886-47B1-BD80-909950E5DDE3}">
      <formula1>"MXN a USD,USD a MXN"</formula1>
    </dataValidation>
  </dataValidations>
  <pageMargins left="0.7" right="0.7" top="0.75" bottom="0.75" header="0.3" footer="0.3"/>
  <drawing r:id="rId1"/>
  <legacyDrawing r:id="rId2"/>
  <controls>
    <mc:AlternateContent xmlns:mc="http://schemas.openxmlformats.org/markup-compatibility/2006">
      <mc:Choice Requires="x14">
        <control shapeId="7170" r:id="rId3" name="CommandButton1">
          <controlPr defaultSize="0" autoLine="0" r:id="rId4">
            <anchor moveWithCells="1">
              <from>
                <xdr:col>2</xdr:col>
                <xdr:colOff>342900</xdr:colOff>
                <xdr:row>0</xdr:row>
                <xdr:rowOff>114300</xdr:rowOff>
              </from>
              <to>
                <xdr:col>5</xdr:col>
                <xdr:colOff>276225</xdr:colOff>
                <xdr:row>4</xdr:row>
                <xdr:rowOff>76200</xdr:rowOff>
              </to>
            </anchor>
          </controlPr>
        </control>
      </mc:Choice>
      <mc:Fallback>
        <control shapeId="7170" r:id="rId3"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Presentación</vt:lpstr>
      <vt:lpstr>Modelo de precios de activos</vt:lpstr>
      <vt:lpstr>Binomial</vt:lpstr>
      <vt:lpstr>Formula Black &amp; Scholes</vt:lpstr>
      <vt:lpstr>Interpolación Tasas de Interes</vt:lpstr>
      <vt:lpstr>Swap y Cross Currency Swap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Bernardo</dc:creator>
  <cp:lastModifiedBy>Bernardo</cp:lastModifiedBy>
  <dcterms:created xsi:type="dcterms:W3CDTF">2020-05-03T18:39:31Z</dcterms:created>
  <dcterms:modified xsi:type="dcterms:W3CDTF">2020-07-30T00:53:24Z</dcterms:modified>
</cp:coreProperties>
</file>