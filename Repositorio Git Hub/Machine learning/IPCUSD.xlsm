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rnardo\Documents\Actuaría Anáhuac\6to semestre\Analisis multivariado\"/>
    </mc:Choice>
  </mc:AlternateContent>
  <xr:revisionPtr revIDLastSave="0" documentId="8_{9920FE98-863A-4A3B-AD92-1A6A1698E980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D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G17" i="1" l="1"/>
  <c r="G11" i="1"/>
  <c r="I11" i="1" l="1"/>
  <c r="I4" i="1"/>
  <c r="H8" i="1"/>
  <c r="J4" i="1"/>
  <c r="G4" i="1"/>
  <c r="H4" i="1"/>
  <c r="I8" i="1"/>
  <c r="J11" i="1"/>
  <c r="G8" i="1"/>
  <c r="J8" i="1"/>
  <c r="H11" i="1"/>
  <c r="G14" i="1" s="1"/>
  <c r="I14" i="1"/>
  <c r="L3" i="1"/>
  <c r="N2" i="1" a="1"/>
  <c r="N7" i="1" l="1"/>
  <c r="N23" i="1"/>
  <c r="N39" i="1"/>
  <c r="N55" i="1"/>
  <c r="N71" i="1"/>
  <c r="N87" i="1"/>
  <c r="N103" i="1"/>
  <c r="N119" i="1"/>
  <c r="N135" i="1"/>
  <c r="N151" i="1"/>
  <c r="N167" i="1"/>
  <c r="N183" i="1"/>
  <c r="N199" i="1"/>
  <c r="N215" i="1"/>
  <c r="N231" i="1"/>
  <c r="N247" i="1"/>
  <c r="N263" i="1"/>
  <c r="N279" i="1"/>
  <c r="N295" i="1"/>
  <c r="N311" i="1"/>
  <c r="N327" i="1"/>
  <c r="N4" i="1"/>
  <c r="N25" i="1"/>
  <c r="N46" i="1"/>
  <c r="N68" i="1"/>
  <c r="N89" i="1"/>
  <c r="N110" i="1"/>
  <c r="N132" i="1"/>
  <c r="N153" i="1"/>
  <c r="N174" i="1"/>
  <c r="N196" i="1"/>
  <c r="N217" i="1"/>
  <c r="N238" i="1"/>
  <c r="N260" i="1"/>
  <c r="N281" i="1"/>
  <c r="N302" i="1"/>
  <c r="N324" i="1"/>
  <c r="N344" i="1"/>
  <c r="N360" i="1"/>
  <c r="N376" i="1"/>
  <c r="N392" i="1"/>
  <c r="N408" i="1"/>
  <c r="N26" i="1"/>
  <c r="N48" i="1"/>
  <c r="N69" i="1"/>
  <c r="N90" i="1"/>
  <c r="N112" i="1"/>
  <c r="N133" i="1"/>
  <c r="N154" i="1"/>
  <c r="N176" i="1"/>
  <c r="N197" i="1"/>
  <c r="N218" i="1"/>
  <c r="N240" i="1"/>
  <c r="N261" i="1"/>
  <c r="N282" i="1"/>
  <c r="N304" i="1"/>
  <c r="N325" i="1"/>
  <c r="N345" i="1"/>
  <c r="N361" i="1"/>
  <c r="N377" i="1"/>
  <c r="N393" i="1"/>
  <c r="N409" i="1"/>
  <c r="N425" i="1"/>
  <c r="N8" i="1"/>
  <c r="N33" i="1"/>
  <c r="N76" i="1"/>
  <c r="N118" i="1"/>
  <c r="N161" i="1"/>
  <c r="N204" i="1"/>
  <c r="N246" i="1"/>
  <c r="N289" i="1"/>
  <c r="N332" i="1"/>
  <c r="N366" i="1"/>
  <c r="N398" i="1"/>
  <c r="N423" i="1"/>
  <c r="N441" i="1"/>
  <c r="N457" i="1"/>
  <c r="N473" i="1"/>
  <c r="N489" i="1"/>
  <c r="N505" i="1"/>
  <c r="N521" i="1"/>
  <c r="N537" i="1"/>
  <c r="N553" i="1"/>
  <c r="N569" i="1"/>
  <c r="N585" i="1"/>
  <c r="N5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267" i="1"/>
  <c r="N283" i="1"/>
  <c r="N299" i="1"/>
  <c r="N315" i="1"/>
  <c r="N331" i="1"/>
  <c r="N9" i="1"/>
  <c r="N30" i="1"/>
  <c r="N52" i="1"/>
  <c r="N73" i="1"/>
  <c r="N94" i="1"/>
  <c r="N116" i="1"/>
  <c r="N137" i="1"/>
  <c r="N158" i="1"/>
  <c r="N180" i="1"/>
  <c r="N201" i="1"/>
  <c r="N222" i="1"/>
  <c r="N244" i="1"/>
  <c r="N265" i="1"/>
  <c r="N286" i="1"/>
  <c r="N308" i="1"/>
  <c r="N329" i="1"/>
  <c r="N348" i="1"/>
  <c r="N364" i="1"/>
  <c r="N380" i="1"/>
  <c r="N396" i="1"/>
  <c r="N10" i="1"/>
  <c r="N32" i="1"/>
  <c r="N53" i="1"/>
  <c r="N74" i="1"/>
  <c r="N96" i="1"/>
  <c r="N117" i="1"/>
  <c r="N138" i="1"/>
  <c r="N160" i="1"/>
  <c r="N181" i="1"/>
  <c r="N202" i="1"/>
  <c r="N224" i="1"/>
  <c r="N245" i="1"/>
  <c r="N266" i="1"/>
  <c r="N288" i="1"/>
  <c r="N309" i="1"/>
  <c r="N330" i="1"/>
  <c r="N349" i="1"/>
  <c r="N365" i="1"/>
  <c r="N381" i="1"/>
  <c r="N397" i="1"/>
  <c r="N413" i="1"/>
  <c r="N429" i="1"/>
  <c r="N18" i="1"/>
  <c r="N44" i="1"/>
  <c r="N86" i="1"/>
  <c r="N129" i="1"/>
  <c r="N172" i="1"/>
  <c r="N214" i="1"/>
  <c r="N257" i="1"/>
  <c r="N300" i="1"/>
  <c r="N342" i="1"/>
  <c r="N374" i="1"/>
  <c r="N406" i="1"/>
  <c r="N428" i="1"/>
  <c r="N445" i="1"/>
  <c r="N461" i="1"/>
  <c r="N477" i="1"/>
  <c r="N493" i="1"/>
  <c r="N509" i="1"/>
  <c r="N525" i="1"/>
  <c r="N541" i="1"/>
  <c r="N557" i="1"/>
  <c r="N573" i="1"/>
  <c r="N19" i="1"/>
  <c r="N51" i="1"/>
  <c r="N83" i="1"/>
  <c r="N115" i="1"/>
  <c r="N147" i="1"/>
  <c r="N179" i="1"/>
  <c r="N211" i="1"/>
  <c r="N243" i="1"/>
  <c r="N275" i="1"/>
  <c r="N307" i="1"/>
  <c r="N339" i="1"/>
  <c r="N41" i="1"/>
  <c r="N84" i="1"/>
  <c r="N126" i="1"/>
  <c r="N169" i="1"/>
  <c r="N212" i="1"/>
  <c r="N254" i="1"/>
  <c r="N297" i="1"/>
  <c r="N340" i="1"/>
  <c r="N372" i="1"/>
  <c r="N404" i="1"/>
  <c r="N42" i="1"/>
  <c r="N85" i="1"/>
  <c r="N128" i="1"/>
  <c r="N170" i="1"/>
  <c r="N213" i="1"/>
  <c r="N256" i="1"/>
  <c r="N298" i="1"/>
  <c r="N341" i="1"/>
  <c r="N373" i="1"/>
  <c r="N405" i="1"/>
  <c r="N17" i="1"/>
  <c r="N65" i="1"/>
  <c r="N150" i="1"/>
  <c r="N236" i="1"/>
  <c r="N321" i="1"/>
  <c r="N390" i="1"/>
  <c r="N437" i="1"/>
  <c r="N469" i="1"/>
  <c r="N501" i="1"/>
  <c r="N533" i="1"/>
  <c r="N565" i="1"/>
  <c r="N593" i="1"/>
  <c r="N609" i="1"/>
  <c r="N625" i="1"/>
  <c r="N641" i="1"/>
  <c r="N657" i="1"/>
  <c r="N673" i="1"/>
  <c r="N689" i="1"/>
  <c r="N705" i="1"/>
  <c r="N721" i="1"/>
  <c r="N737" i="1"/>
  <c r="N753" i="1"/>
  <c r="N769" i="1"/>
  <c r="N785" i="1"/>
  <c r="N801" i="1"/>
  <c r="N817" i="1"/>
  <c r="N833" i="1"/>
  <c r="N849" i="1"/>
  <c r="N865" i="1"/>
  <c r="N881" i="1"/>
  <c r="N897" i="1"/>
  <c r="N913" i="1"/>
  <c r="N929" i="1"/>
  <c r="N34" i="1"/>
  <c r="N77" i="1"/>
  <c r="N120" i="1"/>
  <c r="N162" i="1"/>
  <c r="N205" i="1"/>
  <c r="N248" i="1"/>
  <c r="N290" i="1"/>
  <c r="N333" i="1"/>
  <c r="N367" i="1"/>
  <c r="N399" i="1"/>
  <c r="N424" i="1"/>
  <c r="N442" i="1"/>
  <c r="N458" i="1"/>
  <c r="N474" i="1"/>
  <c r="N490" i="1"/>
  <c r="N506" i="1"/>
  <c r="N522" i="1"/>
  <c r="N538" i="1"/>
  <c r="N554" i="1"/>
  <c r="N570" i="1"/>
  <c r="N586" i="1"/>
  <c r="N2" i="1"/>
  <c r="N31" i="1"/>
  <c r="N63" i="1"/>
  <c r="N95" i="1"/>
  <c r="N127" i="1"/>
  <c r="N159" i="1"/>
  <c r="N191" i="1"/>
  <c r="N223" i="1"/>
  <c r="N255" i="1"/>
  <c r="N287" i="1"/>
  <c r="N319" i="1"/>
  <c r="N14" i="1"/>
  <c r="N57" i="1"/>
  <c r="N100" i="1"/>
  <c r="N142" i="1"/>
  <c r="N185" i="1"/>
  <c r="N228" i="1"/>
  <c r="N270" i="1"/>
  <c r="N313" i="1"/>
  <c r="N352" i="1"/>
  <c r="N384" i="1"/>
  <c r="N16" i="1"/>
  <c r="N58" i="1"/>
  <c r="N101" i="1"/>
  <c r="N144" i="1"/>
  <c r="N186" i="1"/>
  <c r="N229" i="1"/>
  <c r="N272" i="1"/>
  <c r="N314" i="1"/>
  <c r="N353" i="1"/>
  <c r="N385" i="1"/>
  <c r="N417" i="1"/>
  <c r="N12" i="1"/>
  <c r="N97" i="1"/>
  <c r="N182" i="1"/>
  <c r="N268" i="1"/>
  <c r="N350" i="1"/>
  <c r="N412" i="1"/>
  <c r="N449" i="1"/>
  <c r="N481" i="1"/>
  <c r="N513" i="1"/>
  <c r="N545" i="1"/>
  <c r="N577" i="1"/>
  <c r="N597" i="1"/>
  <c r="N613" i="1"/>
  <c r="N629" i="1"/>
  <c r="N645" i="1"/>
  <c r="N661" i="1"/>
  <c r="N677" i="1"/>
  <c r="N693" i="1"/>
  <c r="N709" i="1"/>
  <c r="N725" i="1"/>
  <c r="N741" i="1"/>
  <c r="N757" i="1"/>
  <c r="N773" i="1"/>
  <c r="N789" i="1"/>
  <c r="N805" i="1"/>
  <c r="N821" i="1"/>
  <c r="N837" i="1"/>
  <c r="N853" i="1"/>
  <c r="N869" i="1"/>
  <c r="N885" i="1"/>
  <c r="N901" i="1"/>
  <c r="N917" i="1"/>
  <c r="N933" i="1"/>
  <c r="N45" i="1"/>
  <c r="N88" i="1"/>
  <c r="N130" i="1"/>
  <c r="N173" i="1"/>
  <c r="N216" i="1"/>
  <c r="N258" i="1"/>
  <c r="N301" i="1"/>
  <c r="N343" i="1"/>
  <c r="N375" i="1"/>
  <c r="N407" i="1"/>
  <c r="N47" i="1"/>
  <c r="N111" i="1"/>
  <c r="N175" i="1"/>
  <c r="N239" i="1"/>
  <c r="N303" i="1"/>
  <c r="N36" i="1"/>
  <c r="N121" i="1"/>
  <c r="N206" i="1"/>
  <c r="N292" i="1"/>
  <c r="N368" i="1"/>
  <c r="N37" i="1"/>
  <c r="N122" i="1"/>
  <c r="N208" i="1"/>
  <c r="N293" i="1"/>
  <c r="N369" i="1"/>
  <c r="N6" i="1"/>
  <c r="N140" i="1"/>
  <c r="N310" i="1"/>
  <c r="N433" i="1"/>
  <c r="N497" i="1"/>
  <c r="N561" i="1"/>
  <c r="N605" i="1"/>
  <c r="N637" i="1"/>
  <c r="N669" i="1"/>
  <c r="N701" i="1"/>
  <c r="N733" i="1"/>
  <c r="N765" i="1"/>
  <c r="N797" i="1"/>
  <c r="N829" i="1"/>
  <c r="N861" i="1"/>
  <c r="N893" i="1"/>
  <c r="N925" i="1"/>
  <c r="N66" i="1"/>
  <c r="N152" i="1"/>
  <c r="N237" i="1"/>
  <c r="N322" i="1"/>
  <c r="N391" i="1"/>
  <c r="N434" i="1"/>
  <c r="N454" i="1"/>
  <c r="N478" i="1"/>
  <c r="N498" i="1"/>
  <c r="N518" i="1"/>
  <c r="N542" i="1"/>
  <c r="N562" i="1"/>
  <c r="N582" i="1"/>
  <c r="N602" i="1"/>
  <c r="N618" i="1"/>
  <c r="N634" i="1"/>
  <c r="N650" i="1"/>
  <c r="N666" i="1"/>
  <c r="N682" i="1"/>
  <c r="N698" i="1"/>
  <c r="N714" i="1"/>
  <c r="N730" i="1"/>
  <c r="N746" i="1"/>
  <c r="N762" i="1"/>
  <c r="N778" i="1"/>
  <c r="N794" i="1"/>
  <c r="N810" i="1"/>
  <c r="N826" i="1"/>
  <c r="N842" i="1"/>
  <c r="N858" i="1"/>
  <c r="N874" i="1"/>
  <c r="N890" i="1"/>
  <c r="N906" i="1"/>
  <c r="N922" i="1"/>
  <c r="N70" i="1"/>
  <c r="N29" i="1"/>
  <c r="N114" i="1"/>
  <c r="N38" i="1"/>
  <c r="N124" i="1"/>
  <c r="N209" i="1"/>
  <c r="N294" i="1"/>
  <c r="N370" i="1"/>
  <c r="N426" i="1"/>
  <c r="N459" i="1"/>
  <c r="N491" i="1"/>
  <c r="N523" i="1"/>
  <c r="N555" i="1"/>
  <c r="N587" i="1"/>
  <c r="N619" i="1"/>
  <c r="N651" i="1"/>
  <c r="N683" i="1"/>
  <c r="N715" i="1"/>
  <c r="N747" i="1"/>
  <c r="N779" i="1"/>
  <c r="N811" i="1"/>
  <c r="N843" i="1"/>
  <c r="N875" i="1"/>
  <c r="N907" i="1"/>
  <c r="N937" i="1"/>
  <c r="N953" i="1"/>
  <c r="N969" i="1"/>
  <c r="N985" i="1"/>
  <c r="N1001" i="1"/>
  <c r="N1017" i="1"/>
  <c r="N1033" i="1"/>
  <c r="N1049" i="1"/>
  <c r="N1065" i="1"/>
  <c r="N1081" i="1"/>
  <c r="N1097" i="1"/>
  <c r="N1113" i="1"/>
  <c r="N1129" i="1"/>
  <c r="N1145" i="1"/>
  <c r="N1161" i="1"/>
  <c r="N1177" i="1"/>
  <c r="N1193" i="1"/>
  <c r="N1209" i="1"/>
  <c r="N1225" i="1"/>
  <c r="N1241" i="1"/>
  <c r="N1257" i="1"/>
  <c r="N198" i="1"/>
  <c r="N104" i="1"/>
  <c r="N189" i="1"/>
  <c r="N274" i="1"/>
  <c r="N355" i="1"/>
  <c r="N416" i="1"/>
  <c r="N452" i="1"/>
  <c r="N484" i="1"/>
  <c r="N516" i="1"/>
  <c r="N548" i="1"/>
  <c r="N580" i="1"/>
  <c r="N612" i="1"/>
  <c r="N644" i="1"/>
  <c r="N676" i="1"/>
  <c r="N708" i="1"/>
  <c r="N740" i="1"/>
  <c r="N772" i="1"/>
  <c r="N804" i="1"/>
  <c r="N836" i="1"/>
  <c r="N868" i="1"/>
  <c r="N900" i="1"/>
  <c r="N932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N134" i="1"/>
  <c r="N241" i="1"/>
  <c r="N394" i="1"/>
  <c r="N471" i="1"/>
  <c r="N535" i="1"/>
  <c r="N599" i="1"/>
  <c r="N663" i="1"/>
  <c r="N727" i="1"/>
  <c r="N791" i="1"/>
  <c r="N855" i="1"/>
  <c r="N919" i="1"/>
  <c r="N959" i="1"/>
  <c r="N991" i="1"/>
  <c r="N1023" i="1"/>
  <c r="N1055" i="1"/>
  <c r="N1087" i="1"/>
  <c r="N1119" i="1"/>
  <c r="N3" i="1"/>
  <c r="N67" i="1"/>
  <c r="N131" i="1"/>
  <c r="N195" i="1"/>
  <c r="N259" i="1"/>
  <c r="N323" i="1"/>
  <c r="N62" i="1"/>
  <c r="N148" i="1"/>
  <c r="N233" i="1"/>
  <c r="N318" i="1"/>
  <c r="N388" i="1"/>
  <c r="N64" i="1"/>
  <c r="N149" i="1"/>
  <c r="N234" i="1"/>
  <c r="N320" i="1"/>
  <c r="N389" i="1"/>
  <c r="N22" i="1"/>
  <c r="N193" i="1"/>
  <c r="N358" i="1"/>
  <c r="N453" i="1"/>
  <c r="N517" i="1"/>
  <c r="N581" i="1"/>
  <c r="N617" i="1"/>
  <c r="N649" i="1"/>
  <c r="N681" i="1"/>
  <c r="N713" i="1"/>
  <c r="N745" i="1"/>
  <c r="N777" i="1"/>
  <c r="N809" i="1"/>
  <c r="N841" i="1"/>
  <c r="N873" i="1"/>
  <c r="N905" i="1"/>
  <c r="N13" i="1"/>
  <c r="N98" i="1"/>
  <c r="N184" i="1"/>
  <c r="N269" i="1"/>
  <c r="N351" i="1"/>
  <c r="N414" i="1"/>
  <c r="N438" i="1"/>
  <c r="N462" i="1"/>
  <c r="N482" i="1"/>
  <c r="N502" i="1"/>
  <c r="N526" i="1"/>
  <c r="N546" i="1"/>
  <c r="N566" i="1"/>
  <c r="N590" i="1"/>
  <c r="N606" i="1"/>
  <c r="N622" i="1"/>
  <c r="N638" i="1"/>
  <c r="N654" i="1"/>
  <c r="N670" i="1"/>
  <c r="N686" i="1"/>
  <c r="N702" i="1"/>
  <c r="N718" i="1"/>
  <c r="N734" i="1"/>
  <c r="N750" i="1"/>
  <c r="N766" i="1"/>
  <c r="N782" i="1"/>
  <c r="N798" i="1"/>
  <c r="N814" i="1"/>
  <c r="N830" i="1"/>
  <c r="N846" i="1"/>
  <c r="N862" i="1"/>
  <c r="N878" i="1"/>
  <c r="N894" i="1"/>
  <c r="N910" i="1"/>
  <c r="N926" i="1"/>
  <c r="N92" i="1"/>
  <c r="N50" i="1"/>
  <c r="N136" i="1"/>
  <c r="N60" i="1"/>
  <c r="N145" i="1"/>
  <c r="N230" i="1"/>
  <c r="N316" i="1"/>
  <c r="N386" i="1"/>
  <c r="N435" i="1"/>
  <c r="N467" i="1"/>
  <c r="N499" i="1"/>
  <c r="N531" i="1"/>
  <c r="N563" i="1"/>
  <c r="N595" i="1"/>
  <c r="N627" i="1"/>
  <c r="N659" i="1"/>
  <c r="N691" i="1"/>
  <c r="N723" i="1"/>
  <c r="N755" i="1"/>
  <c r="N787" i="1"/>
  <c r="N819" i="1"/>
  <c r="N851" i="1"/>
  <c r="N883" i="1"/>
  <c r="N915" i="1"/>
  <c r="N941" i="1"/>
  <c r="N957" i="1"/>
  <c r="N973" i="1"/>
  <c r="N989" i="1"/>
  <c r="N1005" i="1"/>
  <c r="N1021" i="1"/>
  <c r="N1037" i="1"/>
  <c r="N1053" i="1"/>
  <c r="N1069" i="1"/>
  <c r="N1085" i="1"/>
  <c r="N1101" i="1"/>
  <c r="N1117" i="1"/>
  <c r="N1133" i="1"/>
  <c r="N1149" i="1"/>
  <c r="N1165" i="1"/>
  <c r="N1181" i="1"/>
  <c r="N1197" i="1"/>
  <c r="N1213" i="1"/>
  <c r="N1229" i="1"/>
  <c r="N1245" i="1"/>
  <c r="N1261" i="1"/>
  <c r="N40" i="1"/>
  <c r="N125" i="1"/>
  <c r="N210" i="1"/>
  <c r="N296" i="1"/>
  <c r="N371" i="1"/>
  <c r="N427" i="1"/>
  <c r="N460" i="1"/>
  <c r="N492" i="1"/>
  <c r="N524" i="1"/>
  <c r="N556" i="1"/>
  <c r="N588" i="1"/>
  <c r="N620" i="1"/>
  <c r="N652" i="1"/>
  <c r="N684" i="1"/>
  <c r="N716" i="1"/>
  <c r="N748" i="1"/>
  <c r="N780" i="1"/>
  <c r="N812" i="1"/>
  <c r="N844" i="1"/>
  <c r="N876" i="1"/>
  <c r="N908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94" i="1"/>
  <c r="N1210" i="1"/>
  <c r="N1226" i="1"/>
  <c r="N1242" i="1"/>
  <c r="N1258" i="1"/>
  <c r="N156" i="1"/>
  <c r="N284" i="1"/>
  <c r="N420" i="1"/>
  <c r="N487" i="1"/>
  <c r="N551" i="1"/>
  <c r="N615" i="1"/>
  <c r="N679" i="1"/>
  <c r="N743" i="1"/>
  <c r="N807" i="1"/>
  <c r="N871" i="1"/>
  <c r="N935" i="1"/>
  <c r="N967" i="1"/>
  <c r="N999" i="1"/>
  <c r="N1031" i="1"/>
  <c r="N1063" i="1"/>
  <c r="N1095" i="1"/>
  <c r="N99" i="1"/>
  <c r="N227" i="1"/>
  <c r="N20" i="1"/>
  <c r="N190" i="1"/>
  <c r="N356" i="1"/>
  <c r="N106" i="1"/>
  <c r="N277" i="1"/>
  <c r="N421" i="1"/>
  <c r="N278" i="1"/>
  <c r="N485" i="1"/>
  <c r="N601" i="1"/>
  <c r="N665" i="1"/>
  <c r="N729" i="1"/>
  <c r="N793" i="1"/>
  <c r="N857" i="1"/>
  <c r="N921" i="1"/>
  <c r="N141" i="1"/>
  <c r="N312" i="1"/>
  <c r="N430" i="1"/>
  <c r="N470" i="1"/>
  <c r="N514" i="1"/>
  <c r="N558" i="1"/>
  <c r="N598" i="1"/>
  <c r="N630" i="1"/>
  <c r="N662" i="1"/>
  <c r="N694" i="1"/>
  <c r="N726" i="1"/>
  <c r="N758" i="1"/>
  <c r="N790" i="1"/>
  <c r="N822" i="1"/>
  <c r="N854" i="1"/>
  <c r="N886" i="1"/>
  <c r="N918" i="1"/>
  <c r="N177" i="1"/>
  <c r="N178" i="1"/>
  <c r="N188" i="1"/>
  <c r="N354" i="1"/>
  <c r="N451" i="1"/>
  <c r="N515" i="1"/>
  <c r="N579" i="1"/>
  <c r="N643" i="1"/>
  <c r="N707" i="1"/>
  <c r="N771" i="1"/>
  <c r="N835" i="1"/>
  <c r="N899" i="1"/>
  <c r="N949" i="1"/>
  <c r="N981" i="1"/>
  <c r="N1013" i="1"/>
  <c r="N1045" i="1"/>
  <c r="N1077" i="1"/>
  <c r="N1109" i="1"/>
  <c r="N1141" i="1"/>
  <c r="N1173" i="1"/>
  <c r="N1205" i="1"/>
  <c r="N1237" i="1"/>
  <c r="N49" i="1"/>
  <c r="N168" i="1"/>
  <c r="N338" i="1"/>
  <c r="N444" i="1"/>
  <c r="N508" i="1"/>
  <c r="N572" i="1"/>
  <c r="N636" i="1"/>
  <c r="N700" i="1"/>
  <c r="N764" i="1"/>
  <c r="N828" i="1"/>
  <c r="N892" i="1"/>
  <c r="N946" i="1"/>
  <c r="N978" i="1"/>
  <c r="N1010" i="1"/>
  <c r="N1042" i="1"/>
  <c r="N1074" i="1"/>
  <c r="N1106" i="1"/>
  <c r="N1138" i="1"/>
  <c r="N1170" i="1"/>
  <c r="N1202" i="1"/>
  <c r="N1234" i="1"/>
  <c r="N28" i="1"/>
  <c r="N362" i="1"/>
  <c r="N519" i="1"/>
  <c r="N647" i="1"/>
  <c r="N775" i="1"/>
  <c r="N903" i="1"/>
  <c r="N983" i="1"/>
  <c r="N1047" i="1"/>
  <c r="N1111" i="1"/>
  <c r="N1151" i="1"/>
  <c r="N1183" i="1"/>
  <c r="N1215" i="1"/>
  <c r="N1247" i="1"/>
  <c r="N527" i="1"/>
  <c r="N687" i="1"/>
  <c r="N815" i="1"/>
  <c r="N939" i="1"/>
  <c r="N1003" i="1"/>
  <c r="N1067" i="1"/>
  <c r="N1131" i="1"/>
  <c r="N1195" i="1"/>
  <c r="N1259" i="1"/>
  <c r="N448" i="1"/>
  <c r="N576" i="1"/>
  <c r="N704" i="1"/>
  <c r="N832" i="1"/>
  <c r="N948" i="1"/>
  <c r="N1012" i="1"/>
  <c r="N1076" i="1"/>
  <c r="N1140" i="1"/>
  <c r="N1204" i="1"/>
  <c r="N242" i="1"/>
  <c r="N395" i="1"/>
  <c r="N472" i="1"/>
  <c r="N536" i="1"/>
  <c r="N600" i="1"/>
  <c r="N664" i="1"/>
  <c r="N728" i="1"/>
  <c r="N792" i="1"/>
  <c r="N856" i="1"/>
  <c r="N920" i="1"/>
  <c r="N960" i="1"/>
  <c r="N992" i="1"/>
  <c r="N1024" i="1"/>
  <c r="N1056" i="1"/>
  <c r="N1088" i="1"/>
  <c r="N1120" i="1"/>
  <c r="N1152" i="1"/>
  <c r="N1184" i="1"/>
  <c r="N1216" i="1"/>
  <c r="N1248" i="1"/>
  <c r="N262" i="1"/>
  <c r="N431" i="1"/>
  <c r="N495" i="1"/>
  <c r="N575" i="1"/>
  <c r="N703" i="1"/>
  <c r="N831" i="1"/>
  <c r="N947" i="1"/>
  <c r="N1011" i="1"/>
  <c r="N1075" i="1"/>
  <c r="N1139" i="1"/>
  <c r="N1203" i="1"/>
  <c r="N221" i="1"/>
  <c r="N464" i="1"/>
  <c r="N592" i="1"/>
  <c r="N720" i="1"/>
  <c r="N848" i="1"/>
  <c r="N956" i="1"/>
  <c r="N1020" i="1"/>
  <c r="N1084" i="1"/>
  <c r="N1164" i="1"/>
  <c r="N1228" i="1"/>
  <c r="N1180" i="1"/>
  <c r="N35" i="1"/>
  <c r="N291" i="1"/>
  <c r="N21" i="1"/>
  <c r="N357" i="1"/>
  <c r="N418" i="1"/>
  <c r="N633" i="1"/>
  <c r="N761" i="1"/>
  <c r="N889" i="1"/>
  <c r="N226" i="1"/>
  <c r="N450" i="1"/>
  <c r="N534" i="1"/>
  <c r="N614" i="1"/>
  <c r="N678" i="1"/>
  <c r="N742" i="1"/>
  <c r="N806" i="1"/>
  <c r="N870" i="1"/>
  <c r="N934" i="1"/>
  <c r="N102" i="1"/>
  <c r="N415" i="1"/>
  <c r="N483" i="1"/>
  <c r="N611" i="1"/>
  <c r="N15" i="1"/>
  <c r="N143" i="1"/>
  <c r="N271" i="1"/>
  <c r="N78" i="1"/>
  <c r="N249" i="1"/>
  <c r="N400" i="1"/>
  <c r="N165" i="1"/>
  <c r="N336" i="1"/>
  <c r="N54" i="1"/>
  <c r="N382" i="1"/>
  <c r="N529" i="1"/>
  <c r="N621" i="1"/>
  <c r="N685" i="1"/>
  <c r="N749" i="1"/>
  <c r="N813" i="1"/>
  <c r="N877" i="1"/>
  <c r="N24" i="1"/>
  <c r="N194" i="1"/>
  <c r="N359" i="1"/>
  <c r="N446" i="1"/>
  <c r="N486" i="1"/>
  <c r="N530" i="1"/>
  <c r="N574" i="1"/>
  <c r="N610" i="1"/>
  <c r="N642" i="1"/>
  <c r="N674" i="1"/>
  <c r="N706" i="1"/>
  <c r="N738" i="1"/>
  <c r="N770" i="1"/>
  <c r="N802" i="1"/>
  <c r="N834" i="1"/>
  <c r="N866" i="1"/>
  <c r="N898" i="1"/>
  <c r="N930" i="1"/>
  <c r="N72" i="1"/>
  <c r="N81" i="1"/>
  <c r="N252" i="1"/>
  <c r="N402" i="1"/>
  <c r="N475" i="1"/>
  <c r="N539" i="1"/>
  <c r="N603" i="1"/>
  <c r="N667" i="1"/>
  <c r="N731" i="1"/>
  <c r="N795" i="1"/>
  <c r="N859" i="1"/>
  <c r="N923" i="1"/>
  <c r="N961" i="1"/>
  <c r="N993" i="1"/>
  <c r="N1025" i="1"/>
  <c r="N1057" i="1"/>
  <c r="N1089" i="1"/>
  <c r="N1121" i="1"/>
  <c r="N1153" i="1"/>
  <c r="N1185" i="1"/>
  <c r="N1217" i="1"/>
  <c r="N1249" i="1"/>
  <c r="N61" i="1"/>
  <c r="N232" i="1"/>
  <c r="N387" i="1"/>
  <c r="N468" i="1"/>
  <c r="N532" i="1"/>
  <c r="N596" i="1"/>
  <c r="N660" i="1"/>
  <c r="N724" i="1"/>
  <c r="N788" i="1"/>
  <c r="N852" i="1"/>
  <c r="N916" i="1"/>
  <c r="N958" i="1"/>
  <c r="N990" i="1"/>
  <c r="N1022" i="1"/>
  <c r="N1054" i="1"/>
  <c r="N1086" i="1"/>
  <c r="N1118" i="1"/>
  <c r="N1150" i="1"/>
  <c r="N1182" i="1"/>
  <c r="N1214" i="1"/>
  <c r="N1246" i="1"/>
  <c r="N220" i="1"/>
  <c r="N439" i="1"/>
  <c r="N567" i="1"/>
  <c r="N695" i="1"/>
  <c r="N823" i="1"/>
  <c r="N943" i="1"/>
  <c r="N1007" i="1"/>
  <c r="N1071" i="1"/>
  <c r="N1127" i="1"/>
  <c r="N1159" i="1"/>
  <c r="N1191" i="1"/>
  <c r="N1223" i="1"/>
  <c r="N1255" i="1"/>
  <c r="N591" i="1"/>
  <c r="N719" i="1"/>
  <c r="N847" i="1"/>
  <c r="N955" i="1"/>
  <c r="N1019" i="1"/>
  <c r="N1083" i="1"/>
  <c r="N1147" i="1"/>
  <c r="N1211" i="1"/>
  <c r="N264" i="1"/>
  <c r="N480" i="1"/>
  <c r="N608" i="1"/>
  <c r="N736" i="1"/>
  <c r="N864" i="1"/>
  <c r="N964" i="1"/>
  <c r="N1028" i="1"/>
  <c r="N1092" i="1"/>
  <c r="N1156" i="1"/>
  <c r="N1220" i="1"/>
  <c r="N285" i="1"/>
  <c r="N422" i="1"/>
  <c r="N488" i="1"/>
  <c r="N552" i="1"/>
  <c r="N616" i="1"/>
  <c r="N680" i="1"/>
  <c r="N744" i="1"/>
  <c r="N808" i="1"/>
  <c r="N872" i="1"/>
  <c r="N936" i="1"/>
  <c r="N968" i="1"/>
  <c r="N1000" i="1"/>
  <c r="N1032" i="1"/>
  <c r="N1064" i="1"/>
  <c r="N1096" i="1"/>
  <c r="N1128" i="1"/>
  <c r="N1160" i="1"/>
  <c r="N1192" i="1"/>
  <c r="N1224" i="1"/>
  <c r="N1256" i="1"/>
  <c r="N305" i="1"/>
  <c r="N447" i="1"/>
  <c r="N511" i="1"/>
  <c r="N607" i="1"/>
  <c r="N735" i="1"/>
  <c r="N863" i="1"/>
  <c r="N963" i="1"/>
  <c r="N1027" i="1"/>
  <c r="N1091" i="1"/>
  <c r="N1155" i="1"/>
  <c r="N1219" i="1"/>
  <c r="N306" i="1"/>
  <c r="N496" i="1"/>
  <c r="N624" i="1"/>
  <c r="N752" i="1"/>
  <c r="N880" i="1"/>
  <c r="N972" i="1"/>
  <c r="N1036" i="1"/>
  <c r="N1116" i="1"/>
  <c r="N1244" i="1"/>
  <c r="N163" i="1"/>
  <c r="N105" i="1"/>
  <c r="N276" i="1"/>
  <c r="N192" i="1"/>
  <c r="N108" i="1"/>
  <c r="N549" i="1"/>
  <c r="N697" i="1"/>
  <c r="N825" i="1"/>
  <c r="N56" i="1"/>
  <c r="N383" i="1"/>
  <c r="N494" i="1"/>
  <c r="N578" i="1"/>
  <c r="N646" i="1"/>
  <c r="N710" i="1"/>
  <c r="N774" i="1"/>
  <c r="N838" i="1"/>
  <c r="N902" i="1"/>
  <c r="N93" i="1"/>
  <c r="N273" i="1"/>
  <c r="N547" i="1"/>
  <c r="N675" i="1"/>
  <c r="N803" i="1"/>
  <c r="N164" i="1"/>
  <c r="N401" i="1"/>
  <c r="N653" i="1"/>
  <c r="N909" i="1"/>
  <c r="N466" i="1"/>
  <c r="N626" i="1"/>
  <c r="N754" i="1"/>
  <c r="N882" i="1"/>
  <c r="N166" i="1"/>
  <c r="N571" i="1"/>
  <c r="N763" i="1"/>
  <c r="N931" i="1"/>
  <c r="N997" i="1"/>
  <c r="N1061" i="1"/>
  <c r="N1125" i="1"/>
  <c r="N1189" i="1"/>
  <c r="N1253" i="1"/>
  <c r="N253" i="1"/>
  <c r="N476" i="1"/>
  <c r="N604" i="1"/>
  <c r="N732" i="1"/>
  <c r="N860" i="1"/>
  <c r="N962" i="1"/>
  <c r="N1026" i="1"/>
  <c r="N1090" i="1"/>
  <c r="N1154" i="1"/>
  <c r="N1218" i="1"/>
  <c r="N1108" i="1"/>
  <c r="N583" i="1"/>
  <c r="N839" i="1"/>
  <c r="N1015" i="1"/>
  <c r="N1135" i="1"/>
  <c r="N1199" i="1"/>
  <c r="N1263" i="1"/>
  <c r="N751" i="1"/>
  <c r="N971" i="1"/>
  <c r="N1099" i="1"/>
  <c r="N1227" i="1"/>
  <c r="N512" i="1"/>
  <c r="N768" i="1"/>
  <c r="N980" i="1"/>
  <c r="N1100" i="1"/>
  <c r="N1236" i="1"/>
  <c r="N440" i="1"/>
  <c r="N568" i="1"/>
  <c r="N696" i="1"/>
  <c r="N824" i="1"/>
  <c r="N944" i="1"/>
  <c r="N1008" i="1"/>
  <c r="N1072" i="1"/>
  <c r="N1136" i="1"/>
  <c r="N1200" i="1"/>
  <c r="N1264" i="1"/>
  <c r="N463" i="1"/>
  <c r="N639" i="1"/>
  <c r="N895" i="1"/>
  <c r="N1043" i="1"/>
  <c r="N1171" i="1"/>
  <c r="N379" i="1"/>
  <c r="N656" i="1"/>
  <c r="N912" i="1"/>
  <c r="N1052" i="1"/>
  <c r="N1196" i="1"/>
  <c r="N996" i="1"/>
  <c r="N584" i="1"/>
  <c r="N840" i="1"/>
  <c r="N1016" i="1"/>
  <c r="N1144" i="1"/>
  <c r="N200" i="1"/>
  <c r="N671" i="1"/>
  <c r="N1059" i="1"/>
  <c r="N432" i="1"/>
  <c r="N940" i="1"/>
  <c r="N1212" i="1"/>
  <c r="N80" i="1"/>
  <c r="N781" i="1"/>
  <c r="N550" i="1"/>
  <c r="N818" i="1"/>
  <c r="N443" i="1"/>
  <c r="N867" i="1"/>
  <c r="N1029" i="1"/>
  <c r="N1157" i="1"/>
  <c r="N82" i="1"/>
  <c r="N540" i="1"/>
  <c r="N796" i="1"/>
  <c r="N994" i="1"/>
  <c r="N1122" i="1"/>
  <c r="N1250" i="1"/>
  <c r="N711" i="1"/>
  <c r="N1079" i="1"/>
  <c r="N1231" i="1"/>
  <c r="N879" i="1"/>
  <c r="N1163" i="1"/>
  <c r="N640" i="1"/>
  <c r="N1044" i="1"/>
  <c r="N328" i="1"/>
  <c r="N632" i="1"/>
  <c r="N888" i="1"/>
  <c r="N1040" i="1"/>
  <c r="N1168" i="1"/>
  <c r="N346" i="1"/>
  <c r="N767" i="1"/>
  <c r="N1107" i="1"/>
  <c r="N528" i="1"/>
  <c r="N988" i="1"/>
  <c r="N1260" i="1"/>
  <c r="N250" i="1"/>
  <c r="N845" i="1"/>
  <c r="N419" i="1"/>
  <c r="N722" i="1"/>
  <c r="N157" i="1"/>
  <c r="N739" i="1"/>
  <c r="N977" i="1"/>
  <c r="N1105" i="1"/>
  <c r="N1233" i="1"/>
  <c r="N436" i="1"/>
  <c r="N692" i="1"/>
  <c r="N942" i="1"/>
  <c r="N1070" i="1"/>
  <c r="N1198" i="1"/>
  <c r="N503" i="1"/>
  <c r="N1103" i="1"/>
  <c r="N1239" i="1"/>
  <c r="N911" i="1"/>
  <c r="N1051" i="1"/>
  <c r="N411" i="1"/>
  <c r="N928" i="1"/>
  <c r="N1188" i="1"/>
  <c r="N520" i="1"/>
  <c r="N776" i="1"/>
  <c r="N984" i="1"/>
  <c r="N1112" i="1"/>
  <c r="N1240" i="1"/>
  <c r="N559" i="1"/>
  <c r="N995" i="1"/>
  <c r="N1251" i="1"/>
  <c r="N816" i="1"/>
  <c r="N1148" i="1"/>
  <c r="N79" i="1"/>
  <c r="N334" i="1"/>
  <c r="N225" i="1"/>
  <c r="N717" i="1"/>
  <c r="N109" i="1"/>
  <c r="N510" i="1"/>
  <c r="N658" i="1"/>
  <c r="N786" i="1"/>
  <c r="N914" i="1"/>
  <c r="N337" i="1"/>
  <c r="N635" i="1"/>
  <c r="N827" i="1"/>
  <c r="N945" i="1"/>
  <c r="N1009" i="1"/>
  <c r="N1073" i="1"/>
  <c r="N1137" i="1"/>
  <c r="N1201" i="1"/>
  <c r="N1265" i="1"/>
  <c r="N317" i="1"/>
  <c r="N500" i="1"/>
  <c r="N628" i="1"/>
  <c r="N756" i="1"/>
  <c r="N884" i="1"/>
  <c r="N974" i="1"/>
  <c r="N1038" i="1"/>
  <c r="N1102" i="1"/>
  <c r="N1166" i="1"/>
  <c r="N1230" i="1"/>
  <c r="N326" i="1"/>
  <c r="N631" i="1"/>
  <c r="N887" i="1"/>
  <c r="N1039" i="1"/>
  <c r="N1143" i="1"/>
  <c r="N1207" i="1"/>
  <c r="N378" i="1"/>
  <c r="N783" i="1"/>
  <c r="N987" i="1"/>
  <c r="N1115" i="1"/>
  <c r="N1243" i="1"/>
  <c r="N544" i="1"/>
  <c r="N800" i="1"/>
  <c r="N1124" i="1"/>
  <c r="N1252" i="1"/>
  <c r="N456" i="1"/>
  <c r="N712" i="1"/>
  <c r="N952" i="1"/>
  <c r="N1080" i="1"/>
  <c r="N1208" i="1"/>
  <c r="N479" i="1"/>
  <c r="N927" i="1"/>
  <c r="N1187" i="1"/>
  <c r="N688" i="1"/>
  <c r="N1068" i="1"/>
  <c r="N207" i="1"/>
  <c r="N465" i="1"/>
  <c r="N280" i="1"/>
  <c r="N690" i="1"/>
  <c r="N113" i="1"/>
  <c r="N699" i="1"/>
  <c r="N965" i="1"/>
  <c r="N1093" i="1"/>
  <c r="N1221" i="1"/>
  <c r="N403" i="1"/>
  <c r="N668" i="1"/>
  <c r="N924" i="1"/>
  <c r="N1058" i="1"/>
  <c r="N1186" i="1"/>
  <c r="N455" i="1"/>
  <c r="N951" i="1"/>
  <c r="N1167" i="1"/>
  <c r="N623" i="1"/>
  <c r="N1035" i="1"/>
  <c r="N347" i="1"/>
  <c r="N896" i="1"/>
  <c r="N1172" i="1"/>
  <c r="N504" i="1"/>
  <c r="N760" i="1"/>
  <c r="N976" i="1"/>
  <c r="N1104" i="1"/>
  <c r="N1232" i="1"/>
  <c r="N543" i="1"/>
  <c r="N979" i="1"/>
  <c r="N1235" i="1"/>
  <c r="N784" i="1"/>
  <c r="N1132" i="1"/>
  <c r="N335" i="1"/>
  <c r="N589" i="1"/>
  <c r="N594" i="1"/>
  <c r="N850" i="1"/>
  <c r="N507" i="1"/>
  <c r="N891" i="1"/>
  <c r="N1041" i="1"/>
  <c r="N1169" i="1"/>
  <c r="N146" i="1"/>
  <c r="N564" i="1"/>
  <c r="N820" i="1"/>
  <c r="N1006" i="1"/>
  <c r="N1134" i="1"/>
  <c r="N1262" i="1"/>
  <c r="N759" i="1"/>
  <c r="N975" i="1"/>
  <c r="N1175" i="1"/>
  <c r="N655" i="1"/>
  <c r="N1179" i="1"/>
  <c r="N672" i="1"/>
  <c r="N1060" i="1"/>
  <c r="N363" i="1"/>
  <c r="N648" i="1"/>
  <c r="N904" i="1"/>
  <c r="N1048" i="1"/>
  <c r="N1176" i="1"/>
  <c r="N410" i="1"/>
  <c r="N799" i="1"/>
  <c r="N1123" i="1"/>
  <c r="N560" i="1"/>
  <c r="N1004" i="1"/>
</calcChain>
</file>

<file path=xl/sharedStrings.xml><?xml version="1.0" encoding="utf-8"?>
<sst xmlns="http://schemas.openxmlformats.org/spreadsheetml/2006/main" count="31" uniqueCount="24">
  <si>
    <t>Fecha</t>
  </si>
  <si>
    <t>IPC</t>
  </si>
  <si>
    <t>MXNUSD</t>
  </si>
  <si>
    <t>Rendimientos IPC</t>
  </si>
  <si>
    <t>Rendimientos MXNUSD</t>
  </si>
  <si>
    <t>1er cuartil</t>
  </si>
  <si>
    <t>Mediana</t>
  </si>
  <si>
    <t>3er cuartil</t>
  </si>
  <si>
    <t>Desviacion estandar</t>
  </si>
  <si>
    <t>Maximo</t>
  </si>
  <si>
    <t>Minimo</t>
  </si>
  <si>
    <t>ALPHA</t>
  </si>
  <si>
    <t>RESULTADO</t>
  </si>
  <si>
    <t>1-ALPHA</t>
  </si>
  <si>
    <t>MU1</t>
  </si>
  <si>
    <t>SIG1</t>
  </si>
  <si>
    <t>MU2</t>
  </si>
  <si>
    <t>SIG2</t>
  </si>
  <si>
    <t>PROB A POSTERIORI</t>
  </si>
  <si>
    <t>Parametro inicial</t>
  </si>
  <si>
    <t>Alfas iniciales</t>
  </si>
  <si>
    <t>Parámetros iniciales</t>
  </si>
  <si>
    <t>IPC_real</t>
  </si>
  <si>
    <t>MXNUSD_real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</si>
</sst>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0" borderId="0" xfId="0" applyFont="1"/>
    <xf numFmtId="164" fontId="0" fillId="0" borderId="0" xfId="0" applyNumberFormat="1"/>
    <xf numFmtId="164" fontId="0" fillId="2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4"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EC30EB-253B-4916-912C-DE0B62040C59}" name="Table1" displayName="Table1" ref="A1:E1259">
  <autoFilter ref="A1:E1259" xr:uid="{7E24252D-A1BC-402A-9C5F-87573BBCB576}"/>
  <sortState xmlns:xlrd2="http://schemas.microsoft.com/office/spreadsheetml/2017/richdata2" ref="A2:E1259">
    <sortCondition descending="1" ref="A1:A1259"/>
  </sortState>
  <tableColumns count="5">
    <tableColumn id="1" xr3:uid="{8543B59D-DD0B-42A5-B737-5EAC73E43F8C}" name="Fecha" totalsRowLabel="Total" dataDxfId="3"/>
    <tableColumn id="2" xr3:uid="{149B2019-2ADC-4397-B068-65EE862F97B3}" name="IPC_real" dataDxfId="2"/>
    <tableColumn id="3" xr3:uid="{C7952D1D-48A8-44C5-B7A8-0DC482D9D1F5}" name="MXNUSD_real" totalsRowFunction="sum" dataDxfId="1" totalsRowDxfId="0"/>
    <tableColumn id="4" xr3:uid="{98097DD2-AB9E-4A8B-B636-38182B6AE2C7}" name="IPC">
      <calculatedColumnFormula>LN(B2/B1)</calculatedColumnFormula>
    </tableColumn>
    <tableColumn id="5" xr3:uid="{761ED82B-897A-41B0-9011-6E7C3F2C4D70}" name="MXNUSD">
      <calculatedColumnFormula>LN(C2/C1)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265"/>
  <sheetViews>
    <sheetView tabSelected="1" zoomScale="97" workbookViewId="0">
      <selection activeCell="F4" sqref="F4"/>
    </sheetView>
  </sheetViews>
  <sheetFormatPr baseColWidth="10" defaultColWidth="11.42578125" defaultRowHeight="15" x14ac:dyDescent="0.25"/>
  <cols>
    <col min="1" max="1" width="12.140625" style="1" bestFit="1" customWidth="1"/>
    <col min="4" max="4" width="19.85546875" customWidth="1"/>
    <col min="5" max="5" width="24.7109375" bestFit="1" customWidth="1"/>
    <col min="6" max="6" width="17.5703125" bestFit="1" customWidth="1"/>
    <col min="7" max="7" width="16.85546875" bestFit="1" customWidth="1"/>
    <col min="8" max="8" width="19" bestFit="1" customWidth="1"/>
    <col min="9" max="9" width="22.42578125" bestFit="1" customWidth="1"/>
    <col min="10" max="10" width="17.5703125" bestFit="1" customWidth="1"/>
    <col min="11" max="11" width="17.5703125" customWidth="1"/>
    <col min="12" max="12" width="13.28515625" bestFit="1" customWidth="1"/>
    <col min="13" max="13" width="14.7109375" bestFit="1" customWidth="1"/>
    <col min="14" max="14" width="11.85546875" bestFit="1" customWidth="1"/>
    <col min="15" max="15" width="18.7109375" bestFit="1" customWidth="1"/>
  </cols>
  <sheetData>
    <row r="1" spans="1:15" x14ac:dyDescent="0.25">
      <c r="A1" s="1" t="s">
        <v>0</v>
      </c>
      <c r="B1" t="s">
        <v>22</v>
      </c>
      <c r="C1" t="s">
        <v>23</v>
      </c>
      <c r="D1" t="s">
        <v>1</v>
      </c>
      <c r="E1" t="s">
        <v>2</v>
      </c>
      <c r="G1" s="3" t="s">
        <v>3</v>
      </c>
      <c r="I1" s="3" t="s">
        <v>4</v>
      </c>
      <c r="L1" t="s">
        <v>20</v>
      </c>
      <c r="M1" t="s">
        <v>21</v>
      </c>
      <c r="N1" t="s">
        <v>12</v>
      </c>
    </row>
    <row r="2" spans="1:15" x14ac:dyDescent="0.25">
      <c r="A2" s="1">
        <v>40907</v>
      </c>
      <c r="B2" s="2">
        <v>37077.519999999997</v>
      </c>
      <c r="C2" s="2">
        <v>13.971</v>
      </c>
      <c r="D2">
        <f>LN(Table1[[#This Row],[IPC_real]]/B3)</f>
        <v>-2.9142294899084163E-3</v>
      </c>
      <c r="E2">
        <f>LN(Table1[[#This Row],[MXNUSD_real]]/C3)</f>
        <v>-3.2871260125708116E-3</v>
      </c>
      <c r="L2">
        <v>0.8</v>
      </c>
      <c r="M2">
        <v>-2.5000000000000001E-2</v>
      </c>
      <c r="N2" s="4">
        <f t="array" ref="N2:N1265">excel_EM(E2:E1258,L2:L3,M2:M5,M6)</f>
        <v>0.88704983791678405</v>
      </c>
      <c r="O2" t="s">
        <v>11</v>
      </c>
    </row>
    <row r="3" spans="1:15" x14ac:dyDescent="0.25">
      <c r="A3" s="1">
        <v>40906</v>
      </c>
      <c r="B3" s="2">
        <v>37185.730000000003</v>
      </c>
      <c r="C3" s="2">
        <v>14.016999999999999</v>
      </c>
      <c r="D3">
        <f>LN(Table1[[#This Row],[IPC_real]]/B4)</f>
        <v>1.465191260327222E-2</v>
      </c>
      <c r="E3">
        <f>LN(Table1[[#This Row],[MXNUSD_real]]/C4)</f>
        <v>2.9293058491650249E-3</v>
      </c>
      <c r="G3" t="s">
        <v>5</v>
      </c>
      <c r="H3" t="s">
        <v>6</v>
      </c>
      <c r="I3" t="s">
        <v>5</v>
      </c>
      <c r="J3" t="s">
        <v>6</v>
      </c>
      <c r="L3">
        <f>1-L2</f>
        <v>0.19999999999999996</v>
      </c>
      <c r="M3">
        <v>0.01</v>
      </c>
      <c r="N3" s="4">
        <v>0.11295016208321595</v>
      </c>
      <c r="O3" t="s">
        <v>13</v>
      </c>
    </row>
    <row r="4" spans="1:15" x14ac:dyDescent="0.25">
      <c r="A4" s="1">
        <v>40905</v>
      </c>
      <c r="B4" s="2">
        <v>36644.86</v>
      </c>
      <c r="C4" s="2">
        <v>13.976000000000001</v>
      </c>
      <c r="D4">
        <f>LN(Table1[[#This Row],[IPC_real]]/B5)</f>
        <v>-1.211250308956228E-2</v>
      </c>
      <c r="E4">
        <f>LN(Table1[[#This Row],[MXNUSD_real]]/C5)</f>
        <v>-2.8222872099833173E-3</v>
      </c>
      <c r="G4">
        <f>_xlfn.PERCENTILE.EXC($D$2:$D$1258,0.25)</f>
        <v>-6.948211942866751E-3</v>
      </c>
      <c r="H4">
        <f>_xlfn.PERCENTILE.EXC($D$2:$D$1258,0.5)</f>
        <v>1.0092164388326025E-3</v>
      </c>
      <c r="I4">
        <f>_xlfn.PERCENTILE.EXC($E$2:$E$1258,0.25)</f>
        <v>-3.5857704621900738E-3</v>
      </c>
      <c r="J4">
        <f>_xlfn.PERCENTILE.EXC($E$2:$E$1258,0.5)</f>
        <v>-3.2528637104598548E-4</v>
      </c>
      <c r="M4">
        <v>2.5000000000000001E-2</v>
      </c>
      <c r="N4" s="4">
        <v>1.7653357134921613E-4</v>
      </c>
      <c r="O4" t="s">
        <v>14</v>
      </c>
    </row>
    <row r="5" spans="1:15" x14ac:dyDescent="0.25">
      <c r="A5" s="1">
        <v>40904</v>
      </c>
      <c r="B5" s="2">
        <v>37091.42</v>
      </c>
      <c r="C5" s="2">
        <v>14.015499999999999</v>
      </c>
      <c r="D5">
        <f>LN(Table1[[#This Row],[IPC_real]]/B6)</f>
        <v>-3.406033136400232E-3</v>
      </c>
      <c r="E5">
        <f>LN(Table1[[#This Row],[MXNUSD_real]]/C6)</f>
        <v>1.0615887094486331E-2</v>
      </c>
      <c r="M5">
        <v>0.02</v>
      </c>
      <c r="N5" s="5">
        <v>6.6786592967205455E-5</v>
      </c>
      <c r="O5" t="s">
        <v>15</v>
      </c>
    </row>
    <row r="6" spans="1:15" x14ac:dyDescent="0.25">
      <c r="A6" s="1">
        <v>40903</v>
      </c>
      <c r="B6" s="2">
        <v>37217.97</v>
      </c>
      <c r="C6" s="2">
        <v>13.8675</v>
      </c>
      <c r="D6">
        <f>LN(Table1[[#This Row],[IPC_real]]/B7)</f>
        <v>4.7549631809449631E-3</v>
      </c>
      <c r="E6">
        <f>LN(Table1[[#This Row],[MXNUSD_real]]/C7)</f>
        <v>2.5632245662631299E-3</v>
      </c>
      <c r="M6">
        <v>0.1</v>
      </c>
      <c r="N6" s="6">
        <v>4.428137039284571E-4</v>
      </c>
      <c r="O6" t="s">
        <v>16</v>
      </c>
    </row>
    <row r="7" spans="1:15" x14ac:dyDescent="0.25">
      <c r="A7" s="1">
        <v>40900</v>
      </c>
      <c r="B7" s="2">
        <v>37041.42</v>
      </c>
      <c r="C7" s="2">
        <v>13.832000000000001</v>
      </c>
      <c r="D7">
        <f>LN(Table1[[#This Row],[IPC_real]]/B8)</f>
        <v>-6.8413493808807736E-4</v>
      </c>
      <c r="E7">
        <f>LN(Table1[[#This Row],[MXNUSD_real]]/C8)</f>
        <v>4.7003526129781151E-4</v>
      </c>
      <c r="G7" t="s">
        <v>7</v>
      </c>
      <c r="H7" t="s">
        <v>8</v>
      </c>
      <c r="I7" t="s">
        <v>7</v>
      </c>
      <c r="J7" t="s">
        <v>8</v>
      </c>
      <c r="N7" s="5">
        <v>6.9649609384026716E-5</v>
      </c>
      <c r="O7" t="s">
        <v>17</v>
      </c>
    </row>
    <row r="8" spans="1:15" x14ac:dyDescent="0.25">
      <c r="A8" s="1">
        <v>40899</v>
      </c>
      <c r="B8" s="2">
        <v>37066.769999999997</v>
      </c>
      <c r="C8" s="2">
        <v>13.8255</v>
      </c>
      <c r="D8">
        <f>LN(Table1[[#This Row],[IPC_real]]/B9)</f>
        <v>1.1906267579048755E-2</v>
      </c>
      <c r="E8">
        <f>LN(Table1[[#This Row],[MXNUSD_real]]/C9)</f>
        <v>-1.914913420483963E-3</v>
      </c>
      <c r="G8">
        <f>_xlfn.PERCENTILE.EXC($D$2:$D$1258,0.75)</f>
        <v>7.7566732201153456E-3</v>
      </c>
      <c r="H8">
        <f>_xlfn.STDEV.S($D$3:$D$1259)</f>
        <v>1.5716199401216147E-2</v>
      </c>
      <c r="I8">
        <f>_xlfn.PERCENTILE.EXC($E$2:$E$1258,0.75)</f>
        <v>3.3301074504474065E-3</v>
      </c>
      <c r="J8">
        <f>_xlfn.STDEV.S($E$2:$E$1258)</f>
        <v>8.1957618591598728E-3</v>
      </c>
      <c r="N8" s="4">
        <v>0.8885359642072489</v>
      </c>
      <c r="O8" t="s">
        <v>18</v>
      </c>
    </row>
    <row r="9" spans="1:15" x14ac:dyDescent="0.25">
      <c r="A9" s="1">
        <v>40898</v>
      </c>
      <c r="B9" s="2">
        <v>36628.06</v>
      </c>
      <c r="C9" s="2">
        <v>13.852</v>
      </c>
      <c r="D9">
        <f>LN(Table1[[#This Row],[IPC_real]]/B10)</f>
        <v>1.0667964531687437E-2</v>
      </c>
      <c r="E9">
        <f>LN(Table1[[#This Row],[MXNUSD_real]]/C10)</f>
        <v>4.5221935503936585E-3</v>
      </c>
      <c r="N9" s="4">
        <v>0.88621179753965706</v>
      </c>
    </row>
    <row r="10" spans="1:15" x14ac:dyDescent="0.25">
      <c r="A10" s="1">
        <v>40897</v>
      </c>
      <c r="B10" s="2">
        <v>36239.39</v>
      </c>
      <c r="C10" s="2">
        <v>13.7895</v>
      </c>
      <c r="D10">
        <f>LN(Table1[[#This Row],[IPC_real]]/B11)</f>
        <v>1.8144328299174946E-2</v>
      </c>
      <c r="E10">
        <f>LN(Table1[[#This Row],[MXNUSD_real]]/C11)</f>
        <v>-4.3777996435655307E-3</v>
      </c>
      <c r="G10" t="s">
        <v>10</v>
      </c>
      <c r="H10" t="s">
        <v>9</v>
      </c>
      <c r="I10" t="s">
        <v>10</v>
      </c>
      <c r="J10" t="s">
        <v>9</v>
      </c>
      <c r="N10" s="4">
        <v>0.88837024735032066</v>
      </c>
    </row>
    <row r="11" spans="1:15" x14ac:dyDescent="0.25">
      <c r="A11" s="1">
        <v>40896</v>
      </c>
      <c r="B11" s="2">
        <v>35587.78</v>
      </c>
      <c r="C11" s="2">
        <v>13.85</v>
      </c>
      <c r="D11">
        <f>LN(Table1[[#This Row],[IPC_real]]/B12)</f>
        <v>-1.3032967712137461E-2</v>
      </c>
      <c r="E11">
        <f>LN(Table1[[#This Row],[MXNUSD_real]]/C12)</f>
        <v>-2.0196198440096905E-3</v>
      </c>
      <c r="G11" s="2">
        <f>MIN($D$2:$D$1258)</f>
        <v>-7.2661233751835114E-2</v>
      </c>
      <c r="H11" s="2">
        <f>MAX($D$2:$D$1258)</f>
        <v>0.10440709758660151</v>
      </c>
      <c r="I11" s="2">
        <f>MIN($E$2:$E$1258)</f>
        <v>-5.7561395912700167E-2</v>
      </c>
      <c r="J11" s="2">
        <f>MAX($E$2:$E$1258)</f>
        <v>6.6684175618817815E-2</v>
      </c>
      <c r="N11" s="4">
        <v>0.88300395394320264</v>
      </c>
    </row>
    <row r="12" spans="1:15" x14ac:dyDescent="0.25">
      <c r="A12" s="1">
        <v>40893</v>
      </c>
      <c r="B12" s="2">
        <v>36054.629999999997</v>
      </c>
      <c r="C12" s="2">
        <v>13.878</v>
      </c>
      <c r="D12">
        <f>LN(Table1[[#This Row],[IPC_real]]/B13)</f>
        <v>1.3247014594291954E-3</v>
      </c>
      <c r="E12">
        <f>LN(Table1[[#This Row],[MXNUSD_real]]/C13)</f>
        <v>-6.843024883912231E-4</v>
      </c>
      <c r="N12" s="4">
        <v>0.88635522196860672</v>
      </c>
    </row>
    <row r="13" spans="1:15" x14ac:dyDescent="0.25">
      <c r="A13" s="1">
        <v>40892</v>
      </c>
      <c r="B13" s="2">
        <v>36006.9</v>
      </c>
      <c r="C13" s="2">
        <v>13.887499999999999</v>
      </c>
      <c r="D13">
        <f>LN(Table1[[#This Row],[IPC_real]]/B14)</f>
        <v>-1.6023422556792809E-4</v>
      </c>
      <c r="E13">
        <f>LN(Table1[[#This Row],[MXNUSD_real]]/C14)</f>
        <v>-1.2952903620815019E-3</v>
      </c>
      <c r="G13" t="s">
        <v>19</v>
      </c>
      <c r="I13" t="s">
        <v>19</v>
      </c>
      <c r="N13" s="4">
        <v>0.88715939163731039</v>
      </c>
    </row>
    <row r="14" spans="1:15" x14ac:dyDescent="0.25">
      <c r="A14" s="1">
        <v>40891</v>
      </c>
      <c r="B14" s="2">
        <v>36012.67</v>
      </c>
      <c r="C14" s="2">
        <v>13.9055</v>
      </c>
      <c r="D14">
        <f>LN(Table1[[#This Row],[IPC_real]]/B15)</f>
        <v>-1.2658667566275135E-2</v>
      </c>
      <c r="E14">
        <f>LN(Table1[[#This Row],[MXNUSD_real]]/C15)</f>
        <v>8.77594610220136E-3</v>
      </c>
      <c r="G14">
        <f>(H11-G11)/4</f>
        <v>4.4267082834609159E-2</v>
      </c>
      <c r="I14">
        <f>(J11-I11)/4</f>
        <v>3.1061392882879495E-2</v>
      </c>
      <c r="K14" s="2"/>
      <c r="N14" s="4">
        <v>0.88804304955545632</v>
      </c>
    </row>
    <row r="15" spans="1:15" x14ac:dyDescent="0.25">
      <c r="A15" s="1">
        <v>40890</v>
      </c>
      <c r="B15" s="2">
        <v>36471.440000000002</v>
      </c>
      <c r="C15" s="2">
        <v>13.784000000000001</v>
      </c>
      <c r="D15">
        <f>LN(Table1[[#This Row],[IPC_real]]/B16)</f>
        <v>-2.0510456962738049E-2</v>
      </c>
      <c r="E15">
        <f>LN(Table1[[#This Row],[MXNUSD_real]]/C16)</f>
        <v>1.380642114119443E-2</v>
      </c>
      <c r="N15" s="4">
        <v>0.88557798875055438</v>
      </c>
    </row>
    <row r="16" spans="1:15" x14ac:dyDescent="0.25">
      <c r="A16" s="1">
        <v>40886</v>
      </c>
      <c r="B16" s="2">
        <v>37227.21</v>
      </c>
      <c r="C16" s="2">
        <v>13.595000000000001</v>
      </c>
      <c r="D16">
        <f>LN(Table1[[#This Row],[IPC_real]]/B17)</f>
        <v>1.5863653069743543E-2</v>
      </c>
      <c r="E16">
        <f>LN(Table1[[#This Row],[MXNUSD_real]]/C17)</f>
        <v>-5.501572651424075E-3</v>
      </c>
      <c r="N16" s="4">
        <v>0.88891976122624794</v>
      </c>
    </row>
    <row r="17" spans="1:14" x14ac:dyDescent="0.25">
      <c r="A17" s="1">
        <v>40885</v>
      </c>
      <c r="B17" s="2">
        <v>36641.31</v>
      </c>
      <c r="C17" s="2">
        <v>13.67</v>
      </c>
      <c r="D17">
        <f>LN(Table1[[#This Row],[IPC_real]]/B18)</f>
        <v>-1.1215128649924079E-2</v>
      </c>
      <c r="E17">
        <f>LN(Table1[[#This Row],[MXNUSD_real]]/C18)</f>
        <v>1.1625471230359195E-2</v>
      </c>
      <c r="G17">
        <f>AVERAGE(D2:D1258)</f>
        <v>2.6227497095770427E-4</v>
      </c>
      <c r="K17" s="2"/>
      <c r="N17" s="4">
        <v>0.88808105812532667</v>
      </c>
    </row>
    <row r="18" spans="1:14" x14ac:dyDescent="0.25">
      <c r="A18" s="1">
        <v>40884</v>
      </c>
      <c r="B18" s="2">
        <v>37054.559999999998</v>
      </c>
      <c r="C18" s="2">
        <v>13.512</v>
      </c>
      <c r="D18">
        <f>LN(Table1[[#This Row],[IPC_real]]/B19)</f>
        <v>-4.4815748264481948E-4</v>
      </c>
      <c r="E18">
        <f>LN(Table1[[#This Row],[MXNUSD_real]]/C19)</f>
        <v>5.1819226092006041E-4</v>
      </c>
      <c r="N18" s="4">
        <v>0.88759139144843524</v>
      </c>
    </row>
    <row r="19" spans="1:14" x14ac:dyDescent="0.25">
      <c r="A19" s="1">
        <v>40883</v>
      </c>
      <c r="B19" s="2">
        <v>37071.17</v>
      </c>
      <c r="C19" s="2">
        <v>13.505000000000001</v>
      </c>
      <c r="D19">
        <f>LN(Table1[[#This Row],[IPC_real]]/B20)</f>
        <v>-8.6283213265607895E-4</v>
      </c>
      <c r="E19">
        <f>LN(Table1[[#This Row],[MXNUSD_real]]/C20)</f>
        <v>-1.8124993402643284E-3</v>
      </c>
      <c r="N19" s="4">
        <v>0.8878167770889448</v>
      </c>
    </row>
    <row r="20" spans="1:14" x14ac:dyDescent="0.25">
      <c r="A20" s="1">
        <v>40882</v>
      </c>
      <c r="B20" s="2">
        <v>37103.17</v>
      </c>
      <c r="C20" s="2">
        <v>13.529500000000001</v>
      </c>
      <c r="D20">
        <f>LN(Table1[[#This Row],[IPC_real]]/B21)</f>
        <v>9.3993006832752413E-3</v>
      </c>
      <c r="E20">
        <f>LN(Table1[[#This Row],[MXNUSD_real]]/C21)</f>
        <v>-2.9560654983759523E-4</v>
      </c>
      <c r="N20" s="4">
        <v>0.88380650724881249</v>
      </c>
    </row>
    <row r="21" spans="1:14" x14ac:dyDescent="0.25">
      <c r="A21" s="1">
        <v>40879</v>
      </c>
      <c r="B21" s="2">
        <v>36756.06</v>
      </c>
      <c r="C21" s="2">
        <v>13.5335</v>
      </c>
      <c r="D21">
        <f>LN(Table1[[#This Row],[IPC_real]]/B22)</f>
        <v>5.1396871816760843E-3</v>
      </c>
      <c r="E21">
        <f>LN(Table1[[#This Row],[MXNUSD_real]]/C22)</f>
        <v>-7.655258024508213E-3</v>
      </c>
      <c r="N21" s="4">
        <v>0.88155900481429805</v>
      </c>
    </row>
    <row r="22" spans="1:14" x14ac:dyDescent="0.25">
      <c r="A22" s="1">
        <v>40878</v>
      </c>
      <c r="B22" s="2">
        <v>36567.629999999997</v>
      </c>
      <c r="C22" s="2">
        <v>13.637499999999999</v>
      </c>
      <c r="D22">
        <f>LN(Table1[[#This Row],[IPC_real]]/B23)</f>
        <v>-7.1262283367949462E-3</v>
      </c>
      <c r="E22">
        <f>LN(Table1[[#This Row],[MXNUSD_real]]/C23)</f>
        <v>-2.1974006278281423E-3</v>
      </c>
      <c r="N22" s="4">
        <v>0.88930787144718992</v>
      </c>
    </row>
    <row r="23" spans="1:14" x14ac:dyDescent="0.25">
      <c r="A23" s="1">
        <v>40877</v>
      </c>
      <c r="B23" s="2">
        <v>36829.15</v>
      </c>
      <c r="C23" s="2">
        <v>13.6675</v>
      </c>
      <c r="D23">
        <f>LN(Table1[[#This Row],[IPC_real]]/B24)</f>
        <v>3.0895014560036849E-2</v>
      </c>
      <c r="E23">
        <f>LN(Table1[[#This Row],[MXNUSD_real]]/C24)</f>
        <v>-2.0530438498953668E-2</v>
      </c>
      <c r="N23" s="4">
        <v>0.88255409450767563</v>
      </c>
    </row>
    <row r="24" spans="1:14" x14ac:dyDescent="0.25">
      <c r="A24" s="1">
        <v>40876</v>
      </c>
      <c r="B24" s="2">
        <v>35708.71</v>
      </c>
      <c r="C24" s="2">
        <v>13.951000000000001</v>
      </c>
      <c r="D24">
        <f>LN(Table1[[#This Row],[IPC_real]]/B25)</f>
        <v>4.2244083853930203E-3</v>
      </c>
      <c r="E24">
        <f>LN(Table1[[#This Row],[MXNUSD_real]]/C25)</f>
        <v>-5.8248775482464127E-3</v>
      </c>
      <c r="N24" s="4">
        <v>0.88714119294618687</v>
      </c>
    </row>
    <row r="25" spans="1:14" x14ac:dyDescent="0.25">
      <c r="A25" s="1">
        <v>40875</v>
      </c>
      <c r="B25" s="2">
        <v>35558.18</v>
      </c>
      <c r="C25" s="2">
        <v>14.032500000000001</v>
      </c>
      <c r="D25">
        <f>LN(Table1[[#This Row],[IPC_real]]/B26)</f>
        <v>2.8096040648208656E-2</v>
      </c>
      <c r="E25">
        <f>LN(Table1[[#This Row],[MXNUSD_real]]/C26)</f>
        <v>-1.6082347151932457E-2</v>
      </c>
      <c r="N25" s="4">
        <v>0.88800580945752661</v>
      </c>
    </row>
    <row r="26" spans="1:14" x14ac:dyDescent="0.25">
      <c r="A26" s="1">
        <v>40872</v>
      </c>
      <c r="B26" s="2">
        <v>34573.040000000001</v>
      </c>
      <c r="C26" s="2">
        <v>14.26</v>
      </c>
      <c r="D26">
        <f>LN(Table1[[#This Row],[IPC_real]]/B27)</f>
        <v>-2.1477108211210891E-2</v>
      </c>
      <c r="E26">
        <f>LN(Table1[[#This Row],[MXNUSD_real]]/C27)</f>
        <v>4.8504541337492588E-3</v>
      </c>
      <c r="N26" s="4">
        <v>0.88744683041763528</v>
      </c>
    </row>
    <row r="27" spans="1:14" x14ac:dyDescent="0.25">
      <c r="A27" s="1">
        <v>40871</v>
      </c>
      <c r="B27" s="2">
        <v>35323.599999999999</v>
      </c>
      <c r="C27" s="2">
        <v>14.191000000000001</v>
      </c>
      <c r="D27">
        <f>LN(Table1[[#This Row],[IPC_real]]/B28)</f>
        <v>-1.4713038344367291E-3</v>
      </c>
      <c r="E27">
        <f>LN(Table1[[#This Row],[MXNUSD_real]]/C28)</f>
        <v>1.3044936360789195E-3</v>
      </c>
      <c r="N27" s="4">
        <v>0.89003108800974218</v>
      </c>
    </row>
    <row r="28" spans="1:14" x14ac:dyDescent="0.25">
      <c r="A28" s="1">
        <v>40870</v>
      </c>
      <c r="B28" s="2">
        <v>35375.61</v>
      </c>
      <c r="C28" s="2">
        <v>14.172499999999999</v>
      </c>
      <c r="D28">
        <f>LN(Table1[[#This Row],[IPC_real]]/B29)</f>
        <v>-1.665181564912991E-2</v>
      </c>
      <c r="E28">
        <f>LN(Table1[[#This Row],[MXNUSD_real]]/C29)</f>
        <v>1.6899806282410088E-2</v>
      </c>
      <c r="N28" s="4">
        <v>0.8881454422276075</v>
      </c>
    </row>
    <row r="29" spans="1:14" x14ac:dyDescent="0.25">
      <c r="A29" s="1">
        <v>40869</v>
      </c>
      <c r="B29" s="2">
        <v>35969.61</v>
      </c>
      <c r="C29" s="2">
        <v>13.935</v>
      </c>
      <c r="D29">
        <f>LN(Table1[[#This Row],[IPC_real]]/B30)</f>
        <v>-8.7079695288295126E-3</v>
      </c>
      <c r="E29">
        <f>LN(Table1[[#This Row],[MXNUSD_real]]/C30)</f>
        <v>1.4456341386674515E-2</v>
      </c>
      <c r="N29" s="4">
        <v>0.89381046803940845</v>
      </c>
    </row>
    <row r="30" spans="1:14" x14ac:dyDescent="0.25">
      <c r="A30" s="1">
        <v>40865</v>
      </c>
      <c r="B30" s="2">
        <v>36284.199999999997</v>
      </c>
      <c r="C30" s="2">
        <v>13.734999999999999</v>
      </c>
      <c r="D30">
        <f>LN(Table1[[#This Row],[IPC_real]]/B31)</f>
        <v>4.7937183482269895E-3</v>
      </c>
      <c r="E30">
        <f>LN(Table1[[#This Row],[MXNUSD_real]]/C31)</f>
        <v>1.4207393876295008E-3</v>
      </c>
      <c r="N30" s="4">
        <v>0.88941815869240504</v>
      </c>
    </row>
    <row r="31" spans="1:14" x14ac:dyDescent="0.25">
      <c r="A31" s="1">
        <v>40864</v>
      </c>
      <c r="B31" s="2">
        <v>36110.68</v>
      </c>
      <c r="C31" s="2">
        <v>13.7155</v>
      </c>
      <c r="D31">
        <f>LN(Table1[[#This Row],[IPC_real]]/B32)</f>
        <v>-1.6417217661092134E-2</v>
      </c>
      <c r="E31">
        <f>LN(Table1[[#This Row],[MXNUSD_real]]/C32)</f>
        <v>1.1402297647358173E-2</v>
      </c>
      <c r="N31" s="4">
        <v>0.89260775775651835</v>
      </c>
    </row>
    <row r="32" spans="1:14" x14ac:dyDescent="0.25">
      <c r="A32" s="1">
        <v>40863</v>
      </c>
      <c r="B32" s="2">
        <v>36708.410000000003</v>
      </c>
      <c r="C32" s="2">
        <v>13.56</v>
      </c>
      <c r="D32">
        <f>LN(Table1[[#This Row],[IPC_real]]/B33)</f>
        <v>-1.5809946883780634E-2</v>
      </c>
      <c r="E32">
        <f>LN(Table1[[#This Row],[MXNUSD_real]]/C33)</f>
        <v>-4.0552248440563779E-4</v>
      </c>
      <c r="N32" s="4">
        <v>0.88544539351168483</v>
      </c>
    </row>
    <row r="33" spans="1:14" x14ac:dyDescent="0.25">
      <c r="A33" s="1">
        <v>40862</v>
      </c>
      <c r="B33" s="2">
        <v>37293.379999999997</v>
      </c>
      <c r="C33" s="2">
        <v>13.5655</v>
      </c>
      <c r="D33">
        <f>LN(Table1[[#This Row],[IPC_real]]/B34)</f>
        <v>6.010511445722822E-3</v>
      </c>
      <c r="E33">
        <f>LN(Table1[[#This Row],[MXNUSD_real]]/C34)</f>
        <v>2.6942753754319719E-3</v>
      </c>
      <c r="N33" s="4">
        <v>0.88684203835712749</v>
      </c>
    </row>
    <row r="34" spans="1:14" x14ac:dyDescent="0.25">
      <c r="A34" s="1">
        <v>40861</v>
      </c>
      <c r="B34" s="2">
        <v>37069.9</v>
      </c>
      <c r="C34" s="2">
        <v>13.529</v>
      </c>
      <c r="D34">
        <f>LN(Table1[[#This Row],[IPC_real]]/B35)</f>
        <v>-1.3018513376671164E-2</v>
      </c>
      <c r="E34">
        <f>LN(Table1[[#This Row],[MXNUSD_real]]/C35)</f>
        <v>5.5451841497797206E-4</v>
      </c>
      <c r="N34" s="4">
        <v>0.88009205449836858</v>
      </c>
    </row>
    <row r="35" spans="1:14" x14ac:dyDescent="0.25">
      <c r="A35" s="1">
        <v>40858</v>
      </c>
      <c r="B35" s="2">
        <v>37555.65</v>
      </c>
      <c r="C35" s="2">
        <v>13.5215</v>
      </c>
      <c r="D35">
        <f>LN(Table1[[#This Row],[IPC_real]]/B36)</f>
        <v>2.5363928640543505E-2</v>
      </c>
      <c r="E35">
        <f>LN(Table1[[#This Row],[MXNUSD_real]]/C36)</f>
        <v>-2.548242538559716E-3</v>
      </c>
      <c r="N35" s="4">
        <v>0.88125624790434376</v>
      </c>
    </row>
    <row r="36" spans="1:14" x14ac:dyDescent="0.25">
      <c r="A36" s="1">
        <v>40857</v>
      </c>
      <c r="B36" s="2">
        <v>36615.07</v>
      </c>
      <c r="C36" s="2">
        <v>13.555999999999999</v>
      </c>
      <c r="D36">
        <f>LN(Table1[[#This Row],[IPC_real]]/B37)</f>
        <v>1.6733884902452617E-3</v>
      </c>
      <c r="E36">
        <f>LN(Table1[[#This Row],[MXNUSD_real]]/C37)</f>
        <v>-8.5938315821398065E-3</v>
      </c>
      <c r="N36" s="4">
        <v>0.88679748977889283</v>
      </c>
    </row>
    <row r="37" spans="1:14" x14ac:dyDescent="0.25">
      <c r="A37" s="1">
        <v>40856</v>
      </c>
      <c r="B37" s="2">
        <v>36553.85</v>
      </c>
      <c r="C37" s="2">
        <v>13.673</v>
      </c>
      <c r="D37">
        <f>LN(Table1[[#This Row],[IPC_real]]/B38)</f>
        <v>-2.1594855107607138E-2</v>
      </c>
      <c r="E37">
        <f>LN(Table1[[#This Row],[MXNUSD_real]]/C38)</f>
        <v>2.3382493331976398E-2</v>
      </c>
      <c r="N37" s="4">
        <v>0.88265412154912015</v>
      </c>
    </row>
    <row r="38" spans="1:14" x14ac:dyDescent="0.25">
      <c r="A38" s="1">
        <v>40855</v>
      </c>
      <c r="B38" s="2">
        <v>37351.81</v>
      </c>
      <c r="C38" s="2">
        <v>13.356999999999999</v>
      </c>
      <c r="D38">
        <f>LN(Table1[[#This Row],[IPC_real]]/B39)</f>
        <v>8.7985442383320886E-3</v>
      </c>
      <c r="E38">
        <f>LN(Table1[[#This Row],[MXNUSD_real]]/C39)</f>
        <v>-5.7482148497045114E-3</v>
      </c>
      <c r="N38" s="4">
        <v>0.88748780251802362</v>
      </c>
    </row>
    <row r="39" spans="1:14" x14ac:dyDescent="0.25">
      <c r="A39" s="1">
        <v>40854</v>
      </c>
      <c r="B39" s="2">
        <v>37024.61</v>
      </c>
      <c r="C39" s="2">
        <v>13.433999999999999</v>
      </c>
      <c r="D39">
        <f>LN(Table1[[#This Row],[IPC_real]]/B40)</f>
        <v>9.095486788032587E-3</v>
      </c>
      <c r="E39">
        <f>LN(Table1[[#This Row],[MXNUSD_real]]/C40)</f>
        <v>-4.7897613153031612E-3</v>
      </c>
      <c r="N39" s="4">
        <v>0.88630397420175855</v>
      </c>
    </row>
    <row r="40" spans="1:14" x14ac:dyDescent="0.25">
      <c r="A40" s="1">
        <v>40851</v>
      </c>
      <c r="B40" s="2">
        <v>36689.379999999997</v>
      </c>
      <c r="C40" s="2">
        <v>13.4985</v>
      </c>
      <c r="D40">
        <f>LN(Table1[[#This Row],[IPC_real]]/B41)</f>
        <v>3.0111209762728433E-3</v>
      </c>
      <c r="E40">
        <f>LN(Table1[[#This Row],[MXNUSD_real]]/C41)</f>
        <v>7.6970651634037691E-3</v>
      </c>
      <c r="N40" s="4">
        <v>0.88712745579370089</v>
      </c>
    </row>
    <row r="41" spans="1:14" x14ac:dyDescent="0.25">
      <c r="A41" s="1">
        <v>40850</v>
      </c>
      <c r="B41" s="2">
        <v>36579.07</v>
      </c>
      <c r="C41" s="2">
        <v>13.395</v>
      </c>
      <c r="D41">
        <f>LN(Table1[[#This Row],[IPC_real]]/B42)</f>
        <v>2.3133803538630919E-2</v>
      </c>
      <c r="E41">
        <f>LN(Table1[[#This Row],[MXNUSD_real]]/C42)</f>
        <v>-1.3274695284994593E-2</v>
      </c>
      <c r="N41" s="4">
        <v>0.88827194605107695</v>
      </c>
    </row>
    <row r="42" spans="1:14" x14ac:dyDescent="0.25">
      <c r="A42" s="1">
        <v>40848</v>
      </c>
      <c r="B42" s="2">
        <v>35742.57</v>
      </c>
      <c r="C42" s="2">
        <v>13.574</v>
      </c>
      <c r="D42">
        <f>LN(Table1[[#This Row],[IPC_real]]/B43)</f>
        <v>-1.1610843603178218E-2</v>
      </c>
      <c r="E42">
        <f>LN(Table1[[#This Row],[MXNUSD_real]]/C43)</f>
        <v>2.0316977910407465E-2</v>
      </c>
      <c r="N42" s="4">
        <v>0.89033788319486928</v>
      </c>
    </row>
    <row r="43" spans="1:14" x14ac:dyDescent="0.25">
      <c r="A43" s="1">
        <v>40847</v>
      </c>
      <c r="B43" s="2">
        <v>36159.99</v>
      </c>
      <c r="C43" s="2">
        <v>13.301</v>
      </c>
      <c r="D43">
        <f>LN(Table1[[#This Row],[IPC_real]]/B44)</f>
        <v>-1.5058890721092608E-2</v>
      </c>
      <c r="E43">
        <f>LN(Table1[[#This Row],[MXNUSD_real]]/C44)</f>
        <v>2.0124459395844136E-2</v>
      </c>
      <c r="N43" s="4">
        <v>0.87679933045041214</v>
      </c>
    </row>
    <row r="44" spans="1:14" x14ac:dyDescent="0.25">
      <c r="A44" s="1">
        <v>40844</v>
      </c>
      <c r="B44" s="2">
        <v>36708.639999999999</v>
      </c>
      <c r="C44" s="2">
        <v>13.036</v>
      </c>
      <c r="D44">
        <f>LN(Table1[[#This Row],[IPC_real]]/B45)</f>
        <v>-5.0574754417137167E-4</v>
      </c>
      <c r="E44">
        <f>LN(Table1[[#This Row],[MXNUSD_real]]/C45)</f>
        <v>-8.0984475003610112E-3</v>
      </c>
      <c r="N44" s="4">
        <v>0.88939206237019985</v>
      </c>
    </row>
    <row r="45" spans="1:14" x14ac:dyDescent="0.25">
      <c r="A45" s="1">
        <v>40843</v>
      </c>
      <c r="B45" s="2">
        <v>36727.21</v>
      </c>
      <c r="C45" s="2">
        <v>13.141999999999999</v>
      </c>
      <c r="D45">
        <f>LN(Table1[[#This Row],[IPC_real]]/B46)</f>
        <v>2.5051144051487124E-2</v>
      </c>
      <c r="E45">
        <f>LN(Table1[[#This Row],[MXNUSD_real]]/C46)</f>
        <v>-2.0783880665020151E-2</v>
      </c>
      <c r="N45" s="4">
        <v>0.88906289887940859</v>
      </c>
    </row>
    <row r="46" spans="1:14" x14ac:dyDescent="0.25">
      <c r="A46" s="1">
        <v>40842</v>
      </c>
      <c r="B46" s="2">
        <v>35818.58</v>
      </c>
      <c r="C46" s="2">
        <v>13.417999999999999</v>
      </c>
      <c r="D46">
        <f>LN(Table1[[#This Row],[IPC_real]]/B47)</f>
        <v>1.4862865015005213E-2</v>
      </c>
      <c r="E46">
        <f>LN(Table1[[#This Row],[MXNUSD_real]]/C47)</f>
        <v>-5.8333034309366143E-3</v>
      </c>
      <c r="N46" s="4">
        <v>0.88426681453220113</v>
      </c>
    </row>
    <row r="47" spans="1:14" x14ac:dyDescent="0.25">
      <c r="A47" s="1">
        <v>40841</v>
      </c>
      <c r="B47" s="2">
        <v>35290.15</v>
      </c>
      <c r="C47" s="2">
        <v>13.496499999999999</v>
      </c>
      <c r="D47">
        <f>LN(Table1[[#This Row],[IPC_real]]/B48)</f>
        <v>6.9703787250139997E-4</v>
      </c>
      <c r="E47">
        <f>LN(Table1[[#This Row],[MXNUSD_real]]/C48)</f>
        <v>6.8399210944606196E-3</v>
      </c>
      <c r="N47" s="4">
        <v>0.89179331140772422</v>
      </c>
    </row>
    <row r="48" spans="1:14" x14ac:dyDescent="0.25">
      <c r="A48" s="1">
        <v>40840</v>
      </c>
      <c r="B48" s="2">
        <v>35265.56</v>
      </c>
      <c r="C48" s="2">
        <v>13.404500000000001</v>
      </c>
      <c r="D48">
        <f>LN(Table1[[#This Row],[IPC_real]]/B49)</f>
        <v>6.9663928846711689E-3</v>
      </c>
      <c r="E48">
        <f>LN(Table1[[#This Row],[MXNUSD_real]]/C49)</f>
        <v>-2.1330796213935972E-2</v>
      </c>
      <c r="N48" s="4">
        <v>0.87839394178629404</v>
      </c>
    </row>
    <row r="49" spans="1:14" x14ac:dyDescent="0.25">
      <c r="A49" s="1">
        <v>40837</v>
      </c>
      <c r="B49" s="2">
        <v>35020.74</v>
      </c>
      <c r="C49" s="2">
        <v>13.6935</v>
      </c>
      <c r="D49">
        <f>LN(Table1[[#This Row],[IPC_real]]/B50)</f>
        <v>1.8014715547891011E-2</v>
      </c>
      <c r="E49">
        <f>LN(Table1[[#This Row],[MXNUSD_real]]/C50)</f>
        <v>-3.6513007763167842E-5</v>
      </c>
      <c r="N49" s="4">
        <v>0.87849181590696968</v>
      </c>
    </row>
    <row r="50" spans="1:14" x14ac:dyDescent="0.25">
      <c r="A50" s="1">
        <v>40836</v>
      </c>
      <c r="B50" s="2">
        <v>34395.5</v>
      </c>
      <c r="C50" s="2">
        <v>13.694000000000001</v>
      </c>
      <c r="D50">
        <f>LN(Table1[[#This Row],[IPC_real]]/B51)</f>
        <v>-3.7078475539599996E-3</v>
      </c>
      <c r="E50">
        <f>LN(Table1[[#This Row],[MXNUSD_real]]/C51)</f>
        <v>1.7606996520002107E-2</v>
      </c>
      <c r="N50" s="4">
        <v>0.89017658529887234</v>
      </c>
    </row>
    <row r="51" spans="1:14" x14ac:dyDescent="0.25">
      <c r="A51" s="1">
        <v>40835</v>
      </c>
      <c r="B51" s="2">
        <v>34523.269999999997</v>
      </c>
      <c r="C51" s="2">
        <v>13.455</v>
      </c>
      <c r="D51">
        <f>LN(Table1[[#This Row],[IPC_real]]/B52)</f>
        <v>-1.4048987538512549E-2</v>
      </c>
      <c r="E51">
        <f>LN(Table1[[#This Row],[MXNUSD_real]]/C52)</f>
        <v>2.6046526353334866E-3</v>
      </c>
      <c r="N51" s="4">
        <v>0.89387581126589788</v>
      </c>
    </row>
    <row r="52" spans="1:14" x14ac:dyDescent="0.25">
      <c r="A52" s="1">
        <v>40834</v>
      </c>
      <c r="B52" s="2">
        <v>35011.71</v>
      </c>
      <c r="C52" s="2">
        <v>13.42</v>
      </c>
      <c r="D52">
        <f>LN(Table1[[#This Row],[IPC_real]]/B53)</f>
        <v>2.5631810846193682E-2</v>
      </c>
      <c r="E52">
        <f>LN(Table1[[#This Row],[MXNUSD_real]]/C53)</f>
        <v>-3.7250885139270565E-4</v>
      </c>
      <c r="N52" s="4">
        <v>0.88942102480850971</v>
      </c>
    </row>
    <row r="53" spans="1:14" x14ac:dyDescent="0.25">
      <c r="A53" s="1">
        <v>40833</v>
      </c>
      <c r="B53" s="2">
        <v>34125.699999999997</v>
      </c>
      <c r="C53" s="2">
        <v>13.425000000000001</v>
      </c>
      <c r="D53">
        <f>LN(Table1[[#This Row],[IPC_real]]/B54)</f>
        <v>-2.0957032904267332E-2</v>
      </c>
      <c r="E53">
        <f>LN(Table1[[#This Row],[MXNUSD_real]]/C54)</f>
        <v>1.2366655637212112E-2</v>
      </c>
      <c r="N53" s="4">
        <v>0.8846271526049202</v>
      </c>
    </row>
    <row r="54" spans="1:14" x14ac:dyDescent="0.25">
      <c r="A54" s="1">
        <v>40830</v>
      </c>
      <c r="B54" s="2">
        <v>34848.42</v>
      </c>
      <c r="C54" s="2">
        <v>13.26</v>
      </c>
      <c r="D54">
        <f>LN(Table1[[#This Row],[IPC_real]]/B55)</f>
        <v>7.5949655603949322E-3</v>
      </c>
      <c r="E54">
        <f>LN(Table1[[#This Row],[MXNUSD_real]]/C55)</f>
        <v>-7.737709041207368E-3</v>
      </c>
      <c r="N54" s="4">
        <v>0.89401566107585384</v>
      </c>
    </row>
    <row r="55" spans="1:14" x14ac:dyDescent="0.25">
      <c r="A55" s="1">
        <v>40829</v>
      </c>
      <c r="B55" s="2">
        <v>34584.75</v>
      </c>
      <c r="C55" s="2">
        <v>13.363</v>
      </c>
      <c r="D55">
        <f>LN(Table1[[#This Row],[IPC_real]]/B56)</f>
        <v>3.3130091206569202E-3</v>
      </c>
      <c r="E55">
        <f>LN(Table1[[#This Row],[MXNUSD_real]]/C56)</f>
        <v>1.1439877902706713E-2</v>
      </c>
      <c r="N55" s="4">
        <v>0.88734996061842519</v>
      </c>
    </row>
    <row r="56" spans="1:14" x14ac:dyDescent="0.25">
      <c r="A56" s="1">
        <v>40828</v>
      </c>
      <c r="B56" s="2">
        <v>34470.36</v>
      </c>
      <c r="C56" s="2">
        <v>13.211</v>
      </c>
      <c r="D56">
        <f>LN(Table1[[#This Row],[IPC_real]]/B57)</f>
        <v>2.3142192211907761E-2</v>
      </c>
      <c r="E56">
        <f>LN(Table1[[#This Row],[MXNUSD_real]]/C57)</f>
        <v>-1.031674499291052E-2</v>
      </c>
      <c r="N56" s="4">
        <v>0.87974738477970804</v>
      </c>
    </row>
    <row r="57" spans="1:14" x14ac:dyDescent="0.25">
      <c r="A57" s="1">
        <v>40827</v>
      </c>
      <c r="B57" s="2">
        <v>33681.800000000003</v>
      </c>
      <c r="C57" s="2">
        <v>13.348000000000001</v>
      </c>
      <c r="D57">
        <f>LN(Table1[[#This Row],[IPC_real]]/B58)</f>
        <v>4.0030373685498739E-3</v>
      </c>
      <c r="E57">
        <f>LN(Table1[[#This Row],[MXNUSD_real]]/C58)</f>
        <v>5.4086670313995269E-3</v>
      </c>
      <c r="N57" s="4">
        <v>0.88633903294050931</v>
      </c>
    </row>
    <row r="58" spans="1:14" x14ac:dyDescent="0.25">
      <c r="A58" s="1">
        <v>40826</v>
      </c>
      <c r="B58" s="2">
        <v>33547.24</v>
      </c>
      <c r="C58" s="2">
        <v>13.276</v>
      </c>
      <c r="D58">
        <f>LN(Table1[[#This Row],[IPC_real]]/B59)</f>
        <v>1.6292802761426681E-2</v>
      </c>
      <c r="E58">
        <f>LN(Table1[[#This Row],[MXNUSD_real]]/C59)</f>
        <v>-1.1533116677418024E-2</v>
      </c>
      <c r="N58" s="4">
        <v>0.88747550411223153</v>
      </c>
    </row>
    <row r="59" spans="1:14" x14ac:dyDescent="0.25">
      <c r="A59" s="1">
        <v>40823</v>
      </c>
      <c r="B59" s="2">
        <v>33005.089999999997</v>
      </c>
      <c r="C59" s="2">
        <v>13.43</v>
      </c>
      <c r="D59">
        <f>LN(Table1[[#This Row],[IPC_real]]/B60)</f>
        <v>-8.2864104594931268E-3</v>
      </c>
      <c r="E59">
        <f>LN(Table1[[#This Row],[MXNUSD_real]]/C60)</f>
        <v>-1.9340926954460442E-3</v>
      </c>
      <c r="N59" s="4">
        <v>0.88221950625543322</v>
      </c>
    </row>
    <row r="60" spans="1:14" x14ac:dyDescent="0.25">
      <c r="A60" s="1">
        <v>40822</v>
      </c>
      <c r="B60" s="2">
        <v>33279.72</v>
      </c>
      <c r="C60" s="2">
        <v>13.456</v>
      </c>
      <c r="D60">
        <f>LN(Table1[[#This Row],[IPC_real]]/B61)</f>
        <v>8.4318531494211261E-3</v>
      </c>
      <c r="E60">
        <f>LN(Table1[[#This Row],[MXNUSD_real]]/C61)</f>
        <v>-3.1905053960978101E-3</v>
      </c>
      <c r="N60" s="4">
        <v>0.89005824188890326</v>
      </c>
    </row>
    <row r="61" spans="1:14" x14ac:dyDescent="0.25">
      <c r="A61" s="1">
        <v>40821</v>
      </c>
      <c r="B61" s="2">
        <v>33000.29</v>
      </c>
      <c r="C61" s="2">
        <v>13.499000000000001</v>
      </c>
      <c r="D61">
        <f>LN(Table1[[#This Row],[IPC_real]]/B62)</f>
        <v>1.0326451365531609E-3</v>
      </c>
      <c r="E61">
        <f>LN(Table1[[#This Row],[MXNUSD_real]]/C62)</f>
        <v>-3.5083656378997519E-2</v>
      </c>
      <c r="N61" s="4">
        <v>0.88263730120644113</v>
      </c>
    </row>
    <row r="62" spans="1:14" x14ac:dyDescent="0.25">
      <c r="A62" s="1">
        <v>40820</v>
      </c>
      <c r="B62" s="2">
        <v>32966.230000000003</v>
      </c>
      <c r="C62" s="2">
        <v>13.981</v>
      </c>
      <c r="D62">
        <f>LN(Table1[[#This Row],[IPC_real]]/B63)</f>
        <v>-5.0726196821737138E-3</v>
      </c>
      <c r="E62">
        <f>LN(Table1[[#This Row],[MXNUSD_real]]/C63)</f>
        <v>5.0080487542865891E-4</v>
      </c>
      <c r="N62" s="4">
        <v>0.89088796250119084</v>
      </c>
    </row>
    <row r="63" spans="1:14" x14ac:dyDescent="0.25">
      <c r="A63" s="1">
        <v>40819</v>
      </c>
      <c r="B63" s="2">
        <v>33133.879999999997</v>
      </c>
      <c r="C63" s="2">
        <v>13.974</v>
      </c>
      <c r="D63">
        <f>LN(Table1[[#This Row],[IPC_real]]/B64)</f>
        <v>-1.1087020633591356E-2</v>
      </c>
      <c r="E63">
        <f>LN(Table1[[#This Row],[MXNUSD_real]]/C64)</f>
        <v>6.461362130719136E-3</v>
      </c>
      <c r="N63" s="4">
        <v>0.88521834883138562</v>
      </c>
    </row>
    <row r="64" spans="1:14" x14ac:dyDescent="0.25">
      <c r="A64" s="1">
        <v>40816</v>
      </c>
      <c r="B64" s="2">
        <v>33503.279999999999</v>
      </c>
      <c r="C64" s="2">
        <v>13.884</v>
      </c>
      <c r="D64">
        <f>LN(Table1[[#This Row],[IPC_real]]/B65)</f>
        <v>-5.4437260267170768E-3</v>
      </c>
      <c r="E64">
        <f>LN(Table1[[#This Row],[MXNUSD_real]]/C65)</f>
        <v>2.0961466165670229E-2</v>
      </c>
      <c r="N64" s="4">
        <v>0.89126619561832177</v>
      </c>
    </row>
    <row r="65" spans="1:14" x14ac:dyDescent="0.25">
      <c r="A65" s="1">
        <v>40815</v>
      </c>
      <c r="B65" s="2">
        <v>33686.160000000003</v>
      </c>
      <c r="C65" s="2">
        <v>13.596</v>
      </c>
      <c r="D65">
        <f>LN(Table1[[#This Row],[IPC_real]]/B66)</f>
        <v>7.3893077333996851E-3</v>
      </c>
      <c r="E65">
        <f>LN(Table1[[#This Row],[MXNUSD_real]]/C66)</f>
        <v>2.6513493216200001E-3</v>
      </c>
      <c r="N65" s="4">
        <v>0.88805001657834581</v>
      </c>
    </row>
    <row r="66" spans="1:14" x14ac:dyDescent="0.25">
      <c r="A66" s="1">
        <v>40814</v>
      </c>
      <c r="B66" s="2">
        <v>33438.160000000003</v>
      </c>
      <c r="C66" s="2">
        <v>13.56</v>
      </c>
      <c r="D66">
        <f>LN(Table1[[#This Row],[IPC_real]]/B67)</f>
        <v>-1.0280082868219418E-2</v>
      </c>
      <c r="E66">
        <f>LN(Table1[[#This Row],[MXNUSD_real]]/C67)</f>
        <v>1.6169853286286819E-2</v>
      </c>
      <c r="N66" s="4">
        <v>0.88850162441381286</v>
      </c>
    </row>
    <row r="67" spans="1:14" x14ac:dyDescent="0.25">
      <c r="A67" s="1">
        <v>40813</v>
      </c>
      <c r="B67" s="2">
        <v>33783.68</v>
      </c>
      <c r="C67" s="2">
        <v>13.342499999999999</v>
      </c>
      <c r="D67">
        <f>LN(Table1[[#This Row],[IPC_real]]/B68)</f>
        <v>1.1842992376308641E-2</v>
      </c>
      <c r="E67">
        <f>LN(Table1[[#This Row],[MXNUSD_real]]/C68)</f>
        <v>-2.8191695770240454E-2</v>
      </c>
      <c r="N67" s="4">
        <v>0.89702603339300391</v>
      </c>
    </row>
    <row r="68" spans="1:14" x14ac:dyDescent="0.25">
      <c r="A68" s="1">
        <v>40812</v>
      </c>
      <c r="B68" s="2">
        <v>33385.94</v>
      </c>
      <c r="C68" s="2">
        <v>13.724</v>
      </c>
      <c r="D68">
        <f>LN(Table1[[#This Row],[IPC_real]]/B69)</f>
        <v>2.417753586863396E-2</v>
      </c>
      <c r="E68">
        <f>LN(Table1[[#This Row],[MXNUSD_real]]/C69)</f>
        <v>2.7727124658972506E-3</v>
      </c>
      <c r="N68" s="4">
        <v>0.88714776533181139</v>
      </c>
    </row>
    <row r="69" spans="1:14" x14ac:dyDescent="0.25">
      <c r="A69" s="1">
        <v>40809</v>
      </c>
      <c r="B69" s="2">
        <v>32588.43</v>
      </c>
      <c r="C69" s="2">
        <v>13.686</v>
      </c>
      <c r="D69">
        <f>LN(Table1[[#This Row],[IPC_real]]/B70)</f>
        <v>6.3836334318426446E-3</v>
      </c>
      <c r="E69">
        <f>LN(Table1[[#This Row],[MXNUSD_real]]/C70)</f>
        <v>-1.0683629362372257E-2</v>
      </c>
      <c r="N69" s="4">
        <v>0.88478479348398997</v>
      </c>
    </row>
    <row r="70" spans="1:14" x14ac:dyDescent="0.25">
      <c r="A70" s="1">
        <v>40808</v>
      </c>
      <c r="B70" s="2">
        <v>32381.06</v>
      </c>
      <c r="C70" s="2">
        <v>13.833</v>
      </c>
      <c r="D70">
        <f>LN(Table1[[#This Row],[IPC_real]]/B71)</f>
        <v>-4.9351975044659643E-2</v>
      </c>
      <c r="E70">
        <f>LN(Table1[[#This Row],[MXNUSD_real]]/C71)</f>
        <v>3.1093630901972043E-2</v>
      </c>
      <c r="N70" s="4">
        <v>0.87806435331945776</v>
      </c>
    </row>
    <row r="71" spans="1:14" x14ac:dyDescent="0.25">
      <c r="A71" s="1">
        <v>40807</v>
      </c>
      <c r="B71" s="2">
        <v>34019.22</v>
      </c>
      <c r="C71" s="2">
        <v>13.4095</v>
      </c>
      <c r="D71">
        <f>LN(Table1[[#This Row],[IPC_real]]/B72)</f>
        <v>-9.3260799717038538E-3</v>
      </c>
      <c r="E71">
        <f>LN(Table1[[#This Row],[MXNUSD_real]]/C72)</f>
        <v>1.7149079590861371E-2</v>
      </c>
      <c r="N71" s="4">
        <v>0.8863207722959594</v>
      </c>
    </row>
    <row r="72" spans="1:14" x14ac:dyDescent="0.25">
      <c r="A72" s="1">
        <v>40806</v>
      </c>
      <c r="B72" s="2">
        <v>34337.97</v>
      </c>
      <c r="C72" s="2">
        <v>13.1815</v>
      </c>
      <c r="D72">
        <f>LN(Table1[[#This Row],[IPC_real]]/B73)</f>
        <v>-2.1292765696892438E-2</v>
      </c>
      <c r="E72">
        <f>LN(Table1[[#This Row],[MXNUSD_real]]/C73)</f>
        <v>1.3664834162774948E-3</v>
      </c>
      <c r="N72" s="4">
        <v>0.88044416243425061</v>
      </c>
    </row>
    <row r="73" spans="1:14" x14ac:dyDescent="0.25">
      <c r="A73" s="1">
        <v>40805</v>
      </c>
      <c r="B73" s="2">
        <v>35076.959999999999</v>
      </c>
      <c r="C73" s="2">
        <v>13.163500000000001</v>
      </c>
      <c r="D73">
        <f>LN(Table1[[#This Row],[IPC_real]]/B74)</f>
        <v>-2.9741661357571558E-3</v>
      </c>
      <c r="E73">
        <f>LN(Table1[[#This Row],[MXNUSD_real]]/C74)</f>
        <v>1.7356425047802496E-2</v>
      </c>
      <c r="N73" s="4">
        <v>0.89563757181925174</v>
      </c>
    </row>
    <row r="74" spans="1:14" x14ac:dyDescent="0.25">
      <c r="A74" s="1">
        <v>40801</v>
      </c>
      <c r="B74" s="2">
        <v>35181.440000000002</v>
      </c>
      <c r="C74" s="2">
        <v>12.936999999999999</v>
      </c>
      <c r="D74">
        <f>LN(Table1[[#This Row],[IPC_real]]/B75)</f>
        <v>1.4881031820841452E-2</v>
      </c>
      <c r="E74">
        <f>LN(Table1[[#This Row],[MXNUSD_real]]/C75)</f>
        <v>3.8649583555355678E-5</v>
      </c>
      <c r="N74" s="4">
        <v>0.88627325012825742</v>
      </c>
    </row>
    <row r="75" spans="1:14" x14ac:dyDescent="0.25">
      <c r="A75" s="1">
        <v>40800</v>
      </c>
      <c r="B75" s="2">
        <v>34661.78</v>
      </c>
      <c r="C75" s="2">
        <v>12.936500000000001</v>
      </c>
      <c r="D75">
        <f>LN(Table1[[#This Row],[IPC_real]]/B76)</f>
        <v>2.0818890544204868E-2</v>
      </c>
      <c r="E75">
        <f>LN(Table1[[#This Row],[MXNUSD_real]]/C76)</f>
        <v>6.5144284046868318E-3</v>
      </c>
      <c r="N75" s="4">
        <v>0.89100292403785619</v>
      </c>
    </row>
    <row r="76" spans="1:14" x14ac:dyDescent="0.25">
      <c r="A76" s="1">
        <v>40799</v>
      </c>
      <c r="B76" s="2">
        <v>33947.620000000003</v>
      </c>
      <c r="C76" s="2">
        <v>12.852499999999999</v>
      </c>
      <c r="D76">
        <f>LN(Table1[[#This Row],[IPC_real]]/B77)</f>
        <v>4.5780885384054818E-3</v>
      </c>
      <c r="E76">
        <f>LN(Table1[[#This Row],[MXNUSD_real]]/C77)</f>
        <v>-8.8693236192246006E-3</v>
      </c>
      <c r="N76" s="4">
        <v>0.87247761488421183</v>
      </c>
    </row>
    <row r="77" spans="1:14" x14ac:dyDescent="0.25">
      <c r="A77" s="1">
        <v>40798</v>
      </c>
      <c r="B77" s="2">
        <v>33792.559999999998</v>
      </c>
      <c r="C77" s="2">
        <v>12.967000000000001</v>
      </c>
      <c r="D77">
        <f>LN(Table1[[#This Row],[IPC_real]]/B78)</f>
        <v>-5.9344566758730332E-4</v>
      </c>
      <c r="E77">
        <f>LN(Table1[[#This Row],[MXNUSD_real]]/C78)</f>
        <v>2.5106247905876105E-2</v>
      </c>
      <c r="N77" s="4">
        <v>0.87997096280118092</v>
      </c>
    </row>
    <row r="78" spans="1:14" x14ac:dyDescent="0.25">
      <c r="A78" s="1">
        <v>40795</v>
      </c>
      <c r="B78" s="2">
        <v>33812.620000000003</v>
      </c>
      <c r="C78" s="2">
        <v>12.6455</v>
      </c>
      <c r="D78">
        <f>LN(Table1[[#This Row],[IPC_real]]/B79)</f>
        <v>-2.6262290075224667E-2</v>
      </c>
      <c r="E78">
        <f>LN(Table1[[#This Row],[MXNUSD_real]]/C79)</f>
        <v>1.0453403084699471E-2</v>
      </c>
      <c r="N78" s="4">
        <v>0.88681829250675603</v>
      </c>
    </row>
    <row r="79" spans="1:14" x14ac:dyDescent="0.25">
      <c r="A79" s="1">
        <v>40794</v>
      </c>
      <c r="B79" s="2">
        <v>34712.379999999997</v>
      </c>
      <c r="C79" s="2">
        <v>12.513999999999999</v>
      </c>
      <c r="D79">
        <f>LN(Table1[[#This Row],[IPC_real]]/B80)</f>
        <v>-1.3369689233446051E-2</v>
      </c>
      <c r="E79">
        <f>LN(Table1[[#This Row],[MXNUSD_real]]/C80)</f>
        <v>4.244250615441105E-3</v>
      </c>
      <c r="N79" s="4">
        <v>0.87986990814097132</v>
      </c>
    </row>
    <row r="80" spans="1:14" x14ac:dyDescent="0.25">
      <c r="A80" s="1">
        <v>40793</v>
      </c>
      <c r="B80" s="2">
        <v>35179.589999999997</v>
      </c>
      <c r="C80" s="2">
        <v>12.461</v>
      </c>
      <c r="D80">
        <f>LN(Table1[[#This Row],[IPC_real]]/B81)</f>
        <v>2.1266569279601036E-2</v>
      </c>
      <c r="E80">
        <f>LN(Table1[[#This Row],[MXNUSD_real]]/C81)</f>
        <v>-1.6437810657267007E-3</v>
      </c>
      <c r="N80" s="4">
        <v>0.88732178244119198</v>
      </c>
    </row>
    <row r="81" spans="1:14" x14ac:dyDescent="0.25">
      <c r="A81" s="1">
        <v>40792</v>
      </c>
      <c r="B81" s="2">
        <v>34439.339999999997</v>
      </c>
      <c r="C81" s="2">
        <v>12.4815</v>
      </c>
      <c r="D81">
        <f>LN(Table1[[#This Row],[IPC_real]]/B82)</f>
        <v>1.6374055510384969E-2</v>
      </c>
      <c r="E81">
        <f>LN(Table1[[#This Row],[MXNUSD_real]]/C82)</f>
        <v>-2.760277780178413E-3</v>
      </c>
      <c r="N81" s="4">
        <v>0.88476275075893918</v>
      </c>
    </row>
    <row r="82" spans="1:14" x14ac:dyDescent="0.25">
      <c r="A82" s="1">
        <v>40791</v>
      </c>
      <c r="B82" s="2">
        <v>33880.019999999997</v>
      </c>
      <c r="C82" s="2">
        <v>12.516</v>
      </c>
      <c r="D82">
        <f>LN(Table1[[#This Row],[IPC_real]]/B83)</f>
        <v>-3.6356101270793334E-2</v>
      </c>
      <c r="E82">
        <f>LN(Table1[[#This Row],[MXNUSD_real]]/C83)</f>
        <v>6.8144729970573813E-3</v>
      </c>
      <c r="N82" s="4">
        <v>0.89042697595597353</v>
      </c>
    </row>
    <row r="83" spans="1:14" x14ac:dyDescent="0.25">
      <c r="A83" s="1">
        <v>40788</v>
      </c>
      <c r="B83" s="2">
        <v>35134.43</v>
      </c>
      <c r="C83" s="2">
        <v>12.430999999999999</v>
      </c>
      <c r="D83">
        <f>LN(Table1[[#This Row],[IPC_real]]/B84)</f>
        <v>-1.4226994533218868E-2</v>
      </c>
      <c r="E83">
        <f>LN(Table1[[#This Row],[MXNUSD_real]]/C84)</f>
        <v>1.2302866631202582E-2</v>
      </c>
      <c r="N83" s="4">
        <v>0.87587236417472958</v>
      </c>
    </row>
    <row r="84" spans="1:14" x14ac:dyDescent="0.25">
      <c r="A84" s="1">
        <v>40787</v>
      </c>
      <c r="B84" s="2">
        <v>35637.86</v>
      </c>
      <c r="C84" s="2">
        <v>12.279</v>
      </c>
      <c r="D84">
        <f>LN(Table1[[#This Row],[IPC_real]]/B85)</f>
        <v>-2.332994700464496E-3</v>
      </c>
      <c r="E84">
        <f>LN(Table1[[#This Row],[MXNUSD_real]]/C85)</f>
        <v>-5.1986145834160358E-3</v>
      </c>
      <c r="N84" s="4">
        <v>0.88307572361062403</v>
      </c>
    </row>
    <row r="85" spans="1:14" x14ac:dyDescent="0.25">
      <c r="A85" s="1">
        <v>40786</v>
      </c>
      <c r="B85" s="2">
        <v>35721.1</v>
      </c>
      <c r="C85" s="2">
        <v>12.343</v>
      </c>
      <c r="D85">
        <f>LN(Table1[[#This Row],[IPC_real]]/B86)</f>
        <v>1.6147942788398394E-2</v>
      </c>
      <c r="E85">
        <f>LN(Table1[[#This Row],[MXNUSD_real]]/C86)</f>
        <v>-1.1118387174524973E-2</v>
      </c>
      <c r="N85" s="4">
        <v>0.88568972806855262</v>
      </c>
    </row>
    <row r="86" spans="1:14" x14ac:dyDescent="0.25">
      <c r="A86" s="1">
        <v>40785</v>
      </c>
      <c r="B86" s="2">
        <v>35148.910000000003</v>
      </c>
      <c r="C86" s="2">
        <v>12.481</v>
      </c>
      <c r="D86">
        <f>LN(Table1[[#This Row],[IPC_real]]/B87)</f>
        <v>3.7873655956552148E-3</v>
      </c>
      <c r="E86">
        <f>LN(Table1[[#This Row],[MXNUSD_real]]/C87)</f>
        <v>3.6119957398092367E-3</v>
      </c>
      <c r="N86" s="4">
        <v>0.88794432224525999</v>
      </c>
    </row>
    <row r="87" spans="1:14" x14ac:dyDescent="0.25">
      <c r="A87" s="1">
        <v>40784</v>
      </c>
      <c r="B87" s="2">
        <v>35016.04</v>
      </c>
      <c r="C87" s="2">
        <v>12.436</v>
      </c>
      <c r="D87">
        <f>LN(Table1[[#This Row],[IPC_real]]/B88)</f>
        <v>2.8204723252958138E-2</v>
      </c>
      <c r="E87">
        <f>LN(Table1[[#This Row],[MXNUSD_real]]/C88)</f>
        <v>-3.6119957398093022E-3</v>
      </c>
      <c r="N87" s="4">
        <v>0.88834804345851348</v>
      </c>
    </row>
    <row r="88" spans="1:14" x14ac:dyDescent="0.25">
      <c r="A88" s="1">
        <v>40781</v>
      </c>
      <c r="B88" s="2">
        <v>34042.22</v>
      </c>
      <c r="C88" s="2">
        <v>12.481</v>
      </c>
      <c r="D88">
        <f>LN(Table1[[#This Row],[IPC_real]]/B89)</f>
        <v>4.0573093897470474E-3</v>
      </c>
      <c r="E88">
        <f>LN(Table1[[#This Row],[MXNUSD_real]]/C89)</f>
        <v>3.1296418434886312E-3</v>
      </c>
      <c r="N88" s="4">
        <v>0.88463777859686021</v>
      </c>
    </row>
    <row r="89" spans="1:14" x14ac:dyDescent="0.25">
      <c r="A89" s="1">
        <v>40780</v>
      </c>
      <c r="B89" s="2">
        <v>33904.379999999997</v>
      </c>
      <c r="C89" s="2">
        <v>12.442</v>
      </c>
      <c r="D89">
        <f>LN(Table1[[#This Row],[IPC_real]]/B90)</f>
        <v>-2.1606896360992011E-2</v>
      </c>
      <c r="E89">
        <f>LN(Table1[[#This Row],[MXNUSD_real]]/C90)</f>
        <v>-1.766643035564452E-3</v>
      </c>
      <c r="N89" s="4">
        <v>0.88224844680434222</v>
      </c>
    </row>
    <row r="90" spans="1:14" x14ac:dyDescent="0.25">
      <c r="A90" s="1">
        <v>40779</v>
      </c>
      <c r="B90" s="2">
        <v>34644.92</v>
      </c>
      <c r="C90" s="2">
        <v>12.464</v>
      </c>
      <c r="D90">
        <f>LN(Table1[[#This Row],[IPC_real]]/B91)</f>
        <v>-8.8314493023372088E-4</v>
      </c>
      <c r="E90">
        <f>LN(Table1[[#This Row],[MXNUSD_real]]/C91)</f>
        <v>1.0363204905766558E-2</v>
      </c>
      <c r="N90" s="4">
        <v>0.88920397030609177</v>
      </c>
    </row>
    <row r="91" spans="1:14" x14ac:dyDescent="0.25">
      <c r="A91" s="1">
        <v>40778</v>
      </c>
      <c r="B91" s="2">
        <v>34675.53</v>
      </c>
      <c r="C91" s="2">
        <v>12.3355</v>
      </c>
      <c r="D91">
        <f>LN(Table1[[#This Row],[IPC_real]]/B92)</f>
        <v>3.169718985797465E-2</v>
      </c>
      <c r="E91">
        <f>LN(Table1[[#This Row],[MXNUSD_real]]/C92)</f>
        <v>-7.6983857451700527E-4</v>
      </c>
      <c r="N91" s="4">
        <v>0.89113817051390709</v>
      </c>
    </row>
    <row r="92" spans="1:14" x14ac:dyDescent="0.25">
      <c r="A92" s="1">
        <v>40777</v>
      </c>
      <c r="B92" s="2">
        <v>33593.65</v>
      </c>
      <c r="C92" s="2">
        <v>12.345000000000001</v>
      </c>
      <c r="D92">
        <f>LN(Table1[[#This Row],[IPC_real]]/B93)</f>
        <v>1.3689897715576974E-2</v>
      </c>
      <c r="E92">
        <f>LN(Table1[[#This Row],[MXNUSD_real]]/C93)</f>
        <v>4.790720055407185E-3</v>
      </c>
      <c r="N92" s="4">
        <v>0.8859421010548324</v>
      </c>
    </row>
    <row r="93" spans="1:14" x14ac:dyDescent="0.25">
      <c r="A93" s="1">
        <v>40774</v>
      </c>
      <c r="B93" s="2">
        <v>33136.89</v>
      </c>
      <c r="C93" s="2">
        <v>12.286</v>
      </c>
      <c r="D93">
        <f>LN(Table1[[#This Row],[IPC_real]]/B94)</f>
        <v>-3.3062452839600263E-3</v>
      </c>
      <c r="E93">
        <f>LN(Table1[[#This Row],[MXNUSD_real]]/C94)</f>
        <v>-1.5452811012835717E-3</v>
      </c>
      <c r="N93" s="4">
        <v>0.88865101913079736</v>
      </c>
    </row>
    <row r="94" spans="1:14" x14ac:dyDescent="0.25">
      <c r="A94" s="1">
        <v>40773</v>
      </c>
      <c r="B94" s="2">
        <v>33246.629999999997</v>
      </c>
      <c r="C94" s="2">
        <v>12.305</v>
      </c>
      <c r="D94">
        <f>LN(Table1[[#This Row],[IPC_real]]/B95)</f>
        <v>-2.3864289135881876E-2</v>
      </c>
      <c r="E94">
        <f>LN(Table1[[#This Row],[MXNUSD_real]]/C95)</f>
        <v>1.0785299415559895E-2</v>
      </c>
      <c r="N94" s="4">
        <v>0.88613295628464706</v>
      </c>
    </row>
    <row r="95" spans="1:14" x14ac:dyDescent="0.25">
      <c r="A95" s="1">
        <v>40772</v>
      </c>
      <c r="B95" s="2">
        <v>34049.58</v>
      </c>
      <c r="C95" s="2">
        <v>12.173</v>
      </c>
      <c r="D95">
        <f>LN(Table1[[#This Row],[IPC_real]]/B96)</f>
        <v>2.9736164383855424E-3</v>
      </c>
      <c r="E95">
        <f>LN(Table1[[#This Row],[MXNUSD_real]]/C96)</f>
        <v>-6.4279940466041583E-3</v>
      </c>
      <c r="N95" s="4">
        <v>0.88798911464305808</v>
      </c>
    </row>
    <row r="96" spans="1:14" x14ac:dyDescent="0.25">
      <c r="A96" s="1">
        <v>40771</v>
      </c>
      <c r="B96" s="2">
        <v>33948.480000000003</v>
      </c>
      <c r="C96" s="2">
        <v>12.2515</v>
      </c>
      <c r="D96">
        <f>LN(Table1[[#This Row],[IPC_real]]/B97)</f>
        <v>1.3972089932834148E-3</v>
      </c>
      <c r="E96">
        <f>LN(Table1[[#This Row],[MXNUSD_real]]/C97)</f>
        <v>3.5569039319621539E-3</v>
      </c>
      <c r="N96" s="4">
        <v>0.88311548910861737</v>
      </c>
    </row>
    <row r="97" spans="1:14" x14ac:dyDescent="0.25">
      <c r="A97" s="1">
        <v>40770</v>
      </c>
      <c r="B97" s="2">
        <v>33901.08</v>
      </c>
      <c r="C97" s="2">
        <v>12.208</v>
      </c>
      <c r="D97">
        <f>LN(Table1[[#This Row],[IPC_real]]/B98)</f>
        <v>1.6044331777544659E-2</v>
      </c>
      <c r="E97">
        <f>LN(Table1[[#This Row],[MXNUSD_real]]/C98)</f>
        <v>-5.7990116362744148E-3</v>
      </c>
      <c r="N97" s="4">
        <v>0.8876230804908376</v>
      </c>
    </row>
    <row r="98" spans="1:14" x14ac:dyDescent="0.25">
      <c r="A98" s="1">
        <v>40767</v>
      </c>
      <c r="B98" s="2">
        <v>33361.5</v>
      </c>
      <c r="C98" s="2">
        <v>12.279</v>
      </c>
      <c r="D98">
        <f>LN(Table1[[#This Row],[IPC_real]]/B99)</f>
        <v>-6.8356874199573025E-3</v>
      </c>
      <c r="E98">
        <f>LN(Table1[[#This Row],[MXNUSD_real]]/C99)</f>
        <v>-7.1007175871386297E-3</v>
      </c>
      <c r="N98" s="4">
        <v>0.88546957268912108</v>
      </c>
    </row>
    <row r="99" spans="1:14" x14ac:dyDescent="0.25">
      <c r="A99" s="1">
        <v>40766</v>
      </c>
      <c r="B99" s="2">
        <v>33590.33</v>
      </c>
      <c r="C99" s="2">
        <v>12.3665</v>
      </c>
      <c r="D99">
        <f>LN(Table1[[#This Row],[IPC_real]]/B100)</f>
        <v>4.1671644933363984E-2</v>
      </c>
      <c r="E99">
        <f>LN(Table1[[#This Row],[MXNUSD_real]]/C100)</f>
        <v>8.8940014064861159E-3</v>
      </c>
      <c r="N99" s="4">
        <v>0.88790834606868363</v>
      </c>
    </row>
    <row r="100" spans="1:14" x14ac:dyDescent="0.25">
      <c r="A100" s="1">
        <v>40765</v>
      </c>
      <c r="B100" s="2">
        <v>32219.33</v>
      </c>
      <c r="C100" s="2">
        <v>12.257</v>
      </c>
      <c r="D100">
        <f>LN(Table1[[#This Row],[IPC_real]]/B101)</f>
        <v>-5.0222331637099615E-3</v>
      </c>
      <c r="E100">
        <f>LN(Table1[[#This Row],[MXNUSD_real]]/C101)</f>
        <v>-7.2349216126760194E-3</v>
      </c>
      <c r="N100" s="4">
        <v>0.88292893802907491</v>
      </c>
    </row>
    <row r="101" spans="1:14" x14ac:dyDescent="0.25">
      <c r="A101" s="1">
        <v>40764</v>
      </c>
      <c r="B101" s="2">
        <v>32381.55</v>
      </c>
      <c r="C101" s="2">
        <v>12.346</v>
      </c>
      <c r="D101">
        <f>LN(Table1[[#This Row],[IPC_real]]/B102)</f>
        <v>2.0007005290701277E-2</v>
      </c>
      <c r="E101">
        <f>LN(Table1[[#This Row],[MXNUSD_real]]/C102)</f>
        <v>1.2968067954512281E-3</v>
      </c>
      <c r="N101" s="4">
        <v>0.88962226776529996</v>
      </c>
    </row>
    <row r="102" spans="1:14" x14ac:dyDescent="0.25">
      <c r="A102" s="1">
        <v>40763</v>
      </c>
      <c r="B102" s="2">
        <v>31740.13</v>
      </c>
      <c r="C102" s="2">
        <v>12.33</v>
      </c>
      <c r="D102">
        <f>LN(Table1[[#This Row],[IPC_real]]/B103)</f>
        <v>-5.9852819744964127E-2</v>
      </c>
      <c r="E102">
        <f>LN(Table1[[#This Row],[MXNUSD_real]]/C103)</f>
        <v>2.8045754450736364E-2</v>
      </c>
      <c r="N102" s="4">
        <v>0.88596397303332164</v>
      </c>
    </row>
    <row r="103" spans="1:14" x14ac:dyDescent="0.25">
      <c r="A103" s="1">
        <v>40760</v>
      </c>
      <c r="B103" s="2">
        <v>33697.870000000003</v>
      </c>
      <c r="C103" s="2">
        <v>11.989000000000001</v>
      </c>
      <c r="D103">
        <f>LN(Table1[[#This Row],[IPC_real]]/B104)</f>
        <v>1.119788485669922E-2</v>
      </c>
      <c r="E103">
        <f>LN(Table1[[#This Row],[MXNUSD_real]]/C104)</f>
        <v>-1.7084405263852753E-3</v>
      </c>
      <c r="N103" s="4">
        <v>0.88940935765500984</v>
      </c>
    </row>
    <row r="104" spans="1:14" x14ac:dyDescent="0.25">
      <c r="A104" s="1">
        <v>40759</v>
      </c>
      <c r="B104" s="2">
        <v>33322.629999999997</v>
      </c>
      <c r="C104" s="2">
        <v>12.009499999999999</v>
      </c>
      <c r="D104">
        <f>LN(Table1[[#This Row],[IPC_real]]/B105)</f>
        <v>-3.4269432147512366E-2</v>
      </c>
      <c r="E104">
        <f>LN(Table1[[#This Row],[MXNUSD_real]]/C105)</f>
        <v>1.4214373796042311E-2</v>
      </c>
      <c r="N104" s="4">
        <v>0.88984744093961399</v>
      </c>
    </row>
    <row r="105" spans="1:14" x14ac:dyDescent="0.25">
      <c r="A105" s="1">
        <v>40758</v>
      </c>
      <c r="B105" s="2">
        <v>34484.370000000003</v>
      </c>
      <c r="C105" s="2">
        <v>11.84</v>
      </c>
      <c r="D105">
        <f>LN(Table1[[#This Row],[IPC_real]]/B106)</f>
        <v>-9.5404270940861163E-3</v>
      </c>
      <c r="E105">
        <f>LN(Table1[[#This Row],[MXNUSD_real]]/C106)</f>
        <v>5.0804512324189137E-3</v>
      </c>
      <c r="N105" s="4">
        <v>0.88375567934165822</v>
      </c>
    </row>
    <row r="106" spans="1:14" x14ac:dyDescent="0.25">
      <c r="A106" s="1">
        <v>40757</v>
      </c>
      <c r="B106" s="2">
        <v>34814.94</v>
      </c>
      <c r="C106" s="2">
        <v>11.78</v>
      </c>
      <c r="D106">
        <f>LN(Table1[[#This Row],[IPC_real]]/B107)</f>
        <v>-2.5963938096597902E-2</v>
      </c>
      <c r="E106">
        <f>LN(Table1[[#This Row],[MXNUSD_real]]/C107)</f>
        <v>3.1458598404964506E-3</v>
      </c>
      <c r="N106" s="4">
        <v>0.88989204808247491</v>
      </c>
    </row>
    <row r="107" spans="1:14" x14ac:dyDescent="0.25">
      <c r="A107" s="1">
        <v>40756</v>
      </c>
      <c r="B107" s="2">
        <v>35730.71</v>
      </c>
      <c r="C107" s="2">
        <v>11.743</v>
      </c>
      <c r="D107">
        <f>LN(Table1[[#This Row],[IPC_real]]/B108)</f>
        <v>-7.4900618601842954E-3</v>
      </c>
      <c r="E107">
        <f>LN(Table1[[#This Row],[MXNUSD_real]]/C108)</f>
        <v>1.4060804634491498E-3</v>
      </c>
      <c r="N107" s="4">
        <v>0.88684498123731104</v>
      </c>
    </row>
    <row r="108" spans="1:14" x14ac:dyDescent="0.25">
      <c r="A108" s="1">
        <v>40753</v>
      </c>
      <c r="B108" s="2">
        <v>35999.339999999997</v>
      </c>
      <c r="C108" s="2">
        <v>11.7265</v>
      </c>
      <c r="D108">
        <f>LN(Table1[[#This Row],[IPC_real]]/B109)</f>
        <v>2.2676106124430869E-3</v>
      </c>
      <c r="E108">
        <f>LN(Table1[[#This Row],[MXNUSD_real]]/C109)</f>
        <v>8.1045923347631838E-4</v>
      </c>
      <c r="N108" s="4">
        <v>0.87424013689177837</v>
      </c>
    </row>
    <row r="109" spans="1:14" x14ac:dyDescent="0.25">
      <c r="A109" s="1">
        <v>40752</v>
      </c>
      <c r="B109" s="2">
        <v>35917.800000000003</v>
      </c>
      <c r="C109" s="2">
        <v>11.717000000000001</v>
      </c>
      <c r="D109">
        <f>LN(Table1[[#This Row],[IPC_real]]/B110)</f>
        <v>8.9539317340819029E-3</v>
      </c>
      <c r="E109">
        <f>LN(Table1[[#This Row],[MXNUSD_real]]/C110)</f>
        <v>4.1907266805436862E-3</v>
      </c>
      <c r="N109" s="4">
        <v>0.88796790677582382</v>
      </c>
    </row>
    <row r="110" spans="1:14" x14ac:dyDescent="0.25">
      <c r="A110" s="1">
        <v>40751</v>
      </c>
      <c r="B110" s="2">
        <v>35597.629999999997</v>
      </c>
      <c r="C110" s="2">
        <v>11.667999999999999</v>
      </c>
      <c r="D110">
        <f>LN(Table1[[#This Row],[IPC_real]]/B111)</f>
        <v>7.2276597466157362E-3</v>
      </c>
      <c r="E110">
        <f>LN(Table1[[#This Row],[MXNUSD_real]]/C111)</f>
        <v>5.6294598722811395E-3</v>
      </c>
      <c r="N110" s="4">
        <v>0.88136930155676418</v>
      </c>
    </row>
    <row r="111" spans="1:14" x14ac:dyDescent="0.25">
      <c r="A111" s="1">
        <v>40750</v>
      </c>
      <c r="B111" s="2">
        <v>35341.269999999997</v>
      </c>
      <c r="C111" s="2">
        <v>11.602499999999999</v>
      </c>
      <c r="D111">
        <f>LN(Table1[[#This Row],[IPC_real]]/B112)</f>
        <v>-3.9084535218893929E-3</v>
      </c>
      <c r="E111">
        <f>LN(Table1[[#This Row],[MXNUSD_real]]/C112)</f>
        <v>-2.3673743973793263E-3</v>
      </c>
      <c r="N111" s="4">
        <v>0.88535208461891157</v>
      </c>
    </row>
    <row r="112" spans="1:14" x14ac:dyDescent="0.25">
      <c r="A112" s="1">
        <v>40749</v>
      </c>
      <c r="B112" s="2">
        <v>35479.67</v>
      </c>
      <c r="C112" s="2">
        <v>11.63</v>
      </c>
      <c r="D112">
        <f>LN(Table1[[#This Row],[IPC_real]]/B113)</f>
        <v>-7.7436877226278785E-3</v>
      </c>
      <c r="E112">
        <f>LN(Table1[[#This Row],[MXNUSD_real]]/C113)</f>
        <v>-2.1493820609345016E-4</v>
      </c>
      <c r="N112" s="4">
        <v>0.88612656282856861</v>
      </c>
    </row>
    <row r="113" spans="1:14" x14ac:dyDescent="0.25">
      <c r="A113" s="1">
        <v>40746</v>
      </c>
      <c r="B113" s="2">
        <v>35755.480000000003</v>
      </c>
      <c r="C113" s="2">
        <v>11.6325</v>
      </c>
      <c r="D113">
        <f>LN(Table1[[#This Row],[IPC_real]]/B114)</f>
        <v>5.5994069283321589E-3</v>
      </c>
      <c r="E113">
        <f>LN(Table1[[#This Row],[MXNUSD_real]]/C114)</f>
        <v>1.6346902031319957E-3</v>
      </c>
      <c r="N113" s="4">
        <v>0.88680311206299522</v>
      </c>
    </row>
    <row r="114" spans="1:14" x14ac:dyDescent="0.25">
      <c r="A114" s="1">
        <v>40745</v>
      </c>
      <c r="B114" s="2">
        <v>35555.83</v>
      </c>
      <c r="C114" s="2">
        <v>11.6135</v>
      </c>
      <c r="D114">
        <f>LN(Table1[[#This Row],[IPC_real]]/B115)</f>
        <v>6.0414161678453895E-3</v>
      </c>
      <c r="E114">
        <f>LN(Table1[[#This Row],[MXNUSD_real]]/C115)</f>
        <v>-3.0521248841052827E-3</v>
      </c>
      <c r="N114" s="4">
        <v>0.88703044006971044</v>
      </c>
    </row>
    <row r="115" spans="1:14" x14ac:dyDescent="0.25">
      <c r="A115" s="1">
        <v>40744</v>
      </c>
      <c r="B115" s="2">
        <v>35341.67</v>
      </c>
      <c r="C115" s="2">
        <v>11.648999999999999</v>
      </c>
      <c r="D115">
        <f>LN(Table1[[#This Row],[IPC_real]]/B116)</f>
        <v>-1.1544050030339457E-2</v>
      </c>
      <c r="E115">
        <f>LN(Table1[[#This Row],[MXNUSD_real]]/C116)</f>
        <v>-3.1712047146054564E-3</v>
      </c>
      <c r="N115" s="4">
        <v>0.8857111900820247</v>
      </c>
    </row>
    <row r="116" spans="1:14" x14ac:dyDescent="0.25">
      <c r="A116" s="1">
        <v>40743</v>
      </c>
      <c r="B116" s="2">
        <v>35752.019999999997</v>
      </c>
      <c r="C116" s="2">
        <v>11.686</v>
      </c>
      <c r="D116">
        <f>LN(Table1[[#This Row],[IPC_real]]/B117)</f>
        <v>-8.2227270338815336E-4</v>
      </c>
      <c r="E116">
        <f>LN(Table1[[#This Row],[MXNUSD_real]]/C117)</f>
        <v>-6.0572637533587853E-3</v>
      </c>
      <c r="N116" s="4">
        <v>0.88512799942771792</v>
      </c>
    </row>
    <row r="117" spans="1:14" x14ac:dyDescent="0.25">
      <c r="A117" s="1">
        <v>40742</v>
      </c>
      <c r="B117" s="2">
        <v>35781.43</v>
      </c>
      <c r="C117" s="2">
        <v>11.757</v>
      </c>
      <c r="D117">
        <f>LN(Table1[[#This Row],[IPC_real]]/B118)</f>
        <v>-1.0409994075275401E-2</v>
      </c>
      <c r="E117">
        <f>LN(Table1[[#This Row],[MXNUSD_real]]/C118)</f>
        <v>1.319233333871103E-3</v>
      </c>
      <c r="N117" s="4">
        <v>0.88820682197832879</v>
      </c>
    </row>
    <row r="118" spans="1:14" x14ac:dyDescent="0.25">
      <c r="A118" s="1">
        <v>40739</v>
      </c>
      <c r="B118" s="2">
        <v>36155.86</v>
      </c>
      <c r="C118" s="2">
        <v>11.7415</v>
      </c>
      <c r="D118">
        <f>LN(Table1[[#This Row],[IPC_real]]/B119)</f>
        <v>-2.4197851708359096E-4</v>
      </c>
      <c r="E118">
        <f>LN(Table1[[#This Row],[MXNUSD_real]]/C119)</f>
        <v>1.0651670123649978E-3</v>
      </c>
      <c r="N118" s="4">
        <v>0.8874167139169713</v>
      </c>
    </row>
    <row r="119" spans="1:14" x14ac:dyDescent="0.25">
      <c r="A119" s="1">
        <v>40738</v>
      </c>
      <c r="B119" s="2">
        <v>36164.61</v>
      </c>
      <c r="C119" s="2">
        <v>11.728999999999999</v>
      </c>
      <c r="D119">
        <f>LN(Table1[[#This Row],[IPC_real]]/B120)</f>
        <v>-2.4880117325872344E-3</v>
      </c>
      <c r="E119">
        <f>LN(Table1[[#This Row],[MXNUSD_real]]/C120)</f>
        <v>3.0740353811864645E-3</v>
      </c>
      <c r="N119" s="4">
        <v>0.88671528052116888</v>
      </c>
    </row>
    <row r="120" spans="1:14" x14ac:dyDescent="0.25">
      <c r="A120" s="1">
        <v>40737</v>
      </c>
      <c r="B120" s="2">
        <v>36254.699999999997</v>
      </c>
      <c r="C120" s="2">
        <v>11.693</v>
      </c>
      <c r="D120">
        <f>LN(Table1[[#This Row],[IPC_real]]/B121)</f>
        <v>2.1015206684921795E-3</v>
      </c>
      <c r="E120">
        <f>LN(Table1[[#This Row],[MXNUSD_real]]/C121)</f>
        <v>-5.7135703122995008E-3</v>
      </c>
      <c r="N120" s="4">
        <v>0.8884523461115631</v>
      </c>
    </row>
    <row r="121" spans="1:14" x14ac:dyDescent="0.25">
      <c r="A121" s="1">
        <v>40736</v>
      </c>
      <c r="B121" s="2">
        <v>36178.589999999997</v>
      </c>
      <c r="C121" s="2">
        <v>11.76</v>
      </c>
      <c r="D121">
        <f>LN(Table1[[#This Row],[IPC_real]]/B122)</f>
        <v>-4.9877354081669907E-3</v>
      </c>
      <c r="E121">
        <f>LN(Table1[[#This Row],[MXNUSD_real]]/C122)</f>
        <v>-3.8257986821299685E-4</v>
      </c>
      <c r="N121" s="4">
        <v>0.88849475813651335</v>
      </c>
    </row>
    <row r="122" spans="1:14" x14ac:dyDescent="0.25">
      <c r="A122" s="1">
        <v>40735</v>
      </c>
      <c r="B122" s="2">
        <v>36359.49</v>
      </c>
      <c r="C122" s="2">
        <v>11.7645</v>
      </c>
      <c r="D122">
        <f>LN(Table1[[#This Row],[IPC_real]]/B123)</f>
        <v>-3.8529081826934337E-3</v>
      </c>
      <c r="E122">
        <f>LN(Table1[[#This Row],[MXNUSD_real]]/C123)</f>
        <v>1.205761144871632E-2</v>
      </c>
      <c r="N122" s="4">
        <v>0.88949705456606432</v>
      </c>
    </row>
    <row r="123" spans="1:14" x14ac:dyDescent="0.25">
      <c r="A123" s="1">
        <v>40732</v>
      </c>
      <c r="B123" s="2">
        <v>36499.85</v>
      </c>
      <c r="C123" s="2">
        <v>11.6235</v>
      </c>
      <c r="D123">
        <f>LN(Table1[[#This Row],[IPC_real]]/B124)</f>
        <v>-2.2834277852586699E-3</v>
      </c>
      <c r="E123">
        <f>LN(Table1[[#This Row],[MXNUSD_real]]/C124)</f>
        <v>5.3482982780922927E-3</v>
      </c>
      <c r="N123" s="4">
        <v>0.88683639429899386</v>
      </c>
    </row>
    <row r="124" spans="1:14" x14ac:dyDescent="0.25">
      <c r="A124" s="1">
        <v>40731</v>
      </c>
      <c r="B124" s="2">
        <v>36583.29</v>
      </c>
      <c r="C124" s="2">
        <v>11.561500000000001</v>
      </c>
      <c r="D124">
        <f>LN(Table1[[#This Row],[IPC_real]]/B125)</f>
        <v>3.1561408405914419E-3</v>
      </c>
      <c r="E124">
        <f>LN(Table1[[#This Row],[MXNUSD_real]]/C125)</f>
        <v>-5.9503452559398788E-3</v>
      </c>
      <c r="N124" s="4">
        <v>0.88693349341869865</v>
      </c>
    </row>
    <row r="125" spans="1:14" x14ac:dyDescent="0.25">
      <c r="A125" s="1">
        <v>40730</v>
      </c>
      <c r="B125" s="2">
        <v>36468.01</v>
      </c>
      <c r="C125" s="2">
        <v>11.6305</v>
      </c>
      <c r="D125">
        <f>LN(Table1[[#This Row],[IPC_real]]/B126)</f>
        <v>-4.7304836442519736E-3</v>
      </c>
      <c r="E125">
        <f>LN(Table1[[#This Row],[MXNUSD_real]]/C126)</f>
        <v>-9.0239139827877834E-4</v>
      </c>
      <c r="N125" s="4">
        <v>0.88615486500678486</v>
      </c>
    </row>
    <row r="126" spans="1:14" x14ac:dyDescent="0.25">
      <c r="A126" s="1">
        <v>40729</v>
      </c>
      <c r="B126" s="2">
        <v>36640.93</v>
      </c>
      <c r="C126" s="2">
        <v>11.641</v>
      </c>
      <c r="D126">
        <f>LN(Table1[[#This Row],[IPC_real]]/B127)</f>
        <v>-5.6109965366805611E-3</v>
      </c>
      <c r="E126">
        <f>LN(Table1[[#This Row],[MXNUSD_real]]/C127)</f>
        <v>3.7437916223422556E-3</v>
      </c>
      <c r="N126" s="4">
        <v>0.88938025796257703</v>
      </c>
    </row>
    <row r="127" spans="1:14" x14ac:dyDescent="0.25">
      <c r="A127" s="1">
        <v>40728</v>
      </c>
      <c r="B127" s="2">
        <v>36847.1</v>
      </c>
      <c r="C127" s="2">
        <v>11.5975</v>
      </c>
      <c r="D127">
        <f>LN(Table1[[#This Row],[IPC_real]]/B128)</f>
        <v>1.259507915679754E-3</v>
      </c>
      <c r="E127">
        <f>LN(Table1[[#This Row],[MXNUSD_real]]/C128)</f>
        <v>-1.9812221141681874E-3</v>
      </c>
      <c r="N127" s="4">
        <v>0.88747925651968063</v>
      </c>
    </row>
    <row r="128" spans="1:14" x14ac:dyDescent="0.25">
      <c r="A128" s="1">
        <v>40725</v>
      </c>
      <c r="B128" s="2">
        <v>36800.720000000001</v>
      </c>
      <c r="C128" s="2">
        <v>11.6205</v>
      </c>
      <c r="D128">
        <f>LN(Table1[[#This Row],[IPC_real]]/B129)</f>
        <v>6.6154549427230036E-3</v>
      </c>
      <c r="E128">
        <f>LN(Table1[[#This Row],[MXNUSD_real]]/C129)</f>
        <v>-7.7150954883883861E-3</v>
      </c>
      <c r="N128" s="4">
        <v>0.88235946299474688</v>
      </c>
    </row>
    <row r="129" spans="1:14" x14ac:dyDescent="0.25">
      <c r="A129" s="1">
        <v>40724</v>
      </c>
      <c r="B129" s="2">
        <v>36558.07</v>
      </c>
      <c r="C129" s="2">
        <v>11.7105</v>
      </c>
      <c r="D129">
        <f>LN(Table1[[#This Row],[IPC_real]]/B130)</f>
        <v>-5.884793311966538E-4</v>
      </c>
      <c r="E129">
        <f>LN(Table1[[#This Row],[MXNUSD_real]]/C130)</f>
        <v>-5.3653680065228488E-3</v>
      </c>
      <c r="N129" s="4">
        <v>0.88524299811493623</v>
      </c>
    </row>
    <row r="130" spans="1:14" x14ac:dyDescent="0.25">
      <c r="A130" s="1">
        <v>40723</v>
      </c>
      <c r="B130" s="2">
        <v>36579.589999999997</v>
      </c>
      <c r="C130" s="2">
        <v>11.7735</v>
      </c>
      <c r="D130">
        <f>LN(Table1[[#This Row],[IPC_real]]/B131)</f>
        <v>1.0737716284636165E-2</v>
      </c>
      <c r="E130">
        <f>LN(Table1[[#This Row],[MXNUSD_real]]/C131)</f>
        <v>-5.1255010016612625E-3</v>
      </c>
      <c r="N130" s="4">
        <v>0.8894607944861983</v>
      </c>
    </row>
    <row r="131" spans="1:14" x14ac:dyDescent="0.25">
      <c r="A131" s="1">
        <v>40722</v>
      </c>
      <c r="B131" s="2">
        <v>36188.910000000003</v>
      </c>
      <c r="C131" s="2">
        <v>11.834</v>
      </c>
      <c r="D131">
        <f>LN(Table1[[#This Row],[IPC_real]]/B132)</f>
        <v>1.6358486121838215E-2</v>
      </c>
      <c r="E131">
        <f>LN(Table1[[#This Row],[MXNUSD_real]]/C132)</f>
        <v>-5.2254649033517111E-3</v>
      </c>
      <c r="N131" s="4">
        <v>0.88767210061681845</v>
      </c>
    </row>
    <row r="132" spans="1:14" x14ac:dyDescent="0.25">
      <c r="A132" s="1">
        <v>40721</v>
      </c>
      <c r="B132" s="2">
        <v>35601.730000000003</v>
      </c>
      <c r="C132" s="2">
        <v>11.896000000000001</v>
      </c>
      <c r="D132">
        <f>LN(Table1[[#This Row],[IPC_real]]/B133)</f>
        <v>7.1566620576825144E-3</v>
      </c>
      <c r="E132">
        <f>LN(Table1[[#This Row],[MXNUSD_real]]/C133)</f>
        <v>2.5221741274576774E-4</v>
      </c>
      <c r="N132" s="4">
        <v>0.88588969974046128</v>
      </c>
    </row>
    <row r="133" spans="1:14" x14ac:dyDescent="0.25">
      <c r="A133" s="1">
        <v>40718</v>
      </c>
      <c r="B133" s="2">
        <v>35347.85</v>
      </c>
      <c r="C133" s="2">
        <v>11.893000000000001</v>
      </c>
      <c r="D133">
        <f>LN(Table1[[#This Row],[IPC_real]]/B134)</f>
        <v>5.9965044356027951E-4</v>
      </c>
      <c r="E133">
        <f>LN(Table1[[#This Row],[MXNUSD_real]]/C134)</f>
        <v>-1.6815200981262318E-4</v>
      </c>
      <c r="N133" s="4">
        <v>0.88806712733574655</v>
      </c>
    </row>
    <row r="134" spans="1:14" x14ac:dyDescent="0.25">
      <c r="A134" s="1">
        <v>40717</v>
      </c>
      <c r="B134" s="2">
        <v>35326.660000000003</v>
      </c>
      <c r="C134" s="2">
        <v>11.895</v>
      </c>
      <c r="D134">
        <f>LN(Table1[[#This Row],[IPC_real]]/B135)</f>
        <v>-2.0580811239274675E-3</v>
      </c>
      <c r="E134">
        <f>LN(Table1[[#This Row],[MXNUSD_real]]/C135)</f>
        <v>1.1371685181459749E-2</v>
      </c>
      <c r="N134" s="4">
        <v>0.89005079838454149</v>
      </c>
    </row>
    <row r="135" spans="1:14" x14ac:dyDescent="0.25">
      <c r="A135" s="1">
        <v>40716</v>
      </c>
      <c r="B135" s="2">
        <v>35399.440000000002</v>
      </c>
      <c r="C135" s="2">
        <v>11.7605</v>
      </c>
      <c r="D135">
        <f>LN(Table1[[#This Row],[IPC_real]]/B136)</f>
        <v>3.4761461931281956E-3</v>
      </c>
      <c r="E135">
        <f>LN(Table1[[#This Row],[MXNUSD_real]]/C136)</f>
        <v>-3.5225500615156326E-3</v>
      </c>
      <c r="N135" s="4">
        <v>0.88926122578771627</v>
      </c>
    </row>
    <row r="136" spans="1:14" x14ac:dyDescent="0.25">
      <c r="A136" s="1">
        <v>40715</v>
      </c>
      <c r="B136" s="2">
        <v>35276.6</v>
      </c>
      <c r="C136" s="2">
        <v>11.802</v>
      </c>
      <c r="D136">
        <f>LN(Table1[[#This Row],[IPC_real]]/B137)</f>
        <v>4.7347188898798813E-3</v>
      </c>
      <c r="E136">
        <f>LN(Table1[[#This Row],[MXNUSD_real]]/C137)</f>
        <v>-6.0821272135067779E-3</v>
      </c>
      <c r="N136" s="4">
        <v>0.88917881507892527</v>
      </c>
    </row>
    <row r="137" spans="1:14" x14ac:dyDescent="0.25">
      <c r="A137" s="1">
        <v>40714</v>
      </c>
      <c r="B137" s="2">
        <v>35109.97</v>
      </c>
      <c r="C137" s="2">
        <v>11.874000000000001</v>
      </c>
      <c r="D137">
        <f>LN(Table1[[#This Row],[IPC_real]]/B138)</f>
        <v>2.4019159567922493E-3</v>
      </c>
      <c r="E137">
        <f>LN(Table1[[#This Row],[MXNUSD_real]]/C138)</f>
        <v>-2.9432809373750616E-3</v>
      </c>
      <c r="N137" s="4">
        <v>0.88921320047670804</v>
      </c>
    </row>
    <row r="138" spans="1:14" x14ac:dyDescent="0.25">
      <c r="A138" s="1">
        <v>40711</v>
      </c>
      <c r="B138" s="2">
        <v>35025.74</v>
      </c>
      <c r="C138" s="2">
        <v>11.909000000000001</v>
      </c>
      <c r="D138">
        <f>LN(Table1[[#This Row],[IPC_real]]/B139)</f>
        <v>-5.558991936205385E-3</v>
      </c>
      <c r="E138">
        <f>LN(Table1[[#This Row],[MXNUSD_real]]/C139)</f>
        <v>-6.2780099890048392E-3</v>
      </c>
      <c r="N138" s="4">
        <v>0.88724152884189045</v>
      </c>
    </row>
    <row r="139" spans="1:14" x14ac:dyDescent="0.25">
      <c r="A139" s="1">
        <v>40710</v>
      </c>
      <c r="B139" s="2">
        <v>35220.99</v>
      </c>
      <c r="C139" s="2">
        <v>11.984</v>
      </c>
      <c r="D139">
        <f>LN(Table1[[#This Row],[IPC_real]]/B140)</f>
        <v>-2.7615797558842355E-3</v>
      </c>
      <c r="E139">
        <f>LN(Table1[[#This Row],[MXNUSD_real]]/C140)</f>
        <v>3.8039548429870803E-3</v>
      </c>
      <c r="N139" s="4">
        <v>0.88739922876559052</v>
      </c>
    </row>
    <row r="140" spans="1:14" x14ac:dyDescent="0.25">
      <c r="A140" s="1">
        <v>40709</v>
      </c>
      <c r="B140" s="2">
        <v>35318.39</v>
      </c>
      <c r="C140" s="2">
        <v>11.938499999999999</v>
      </c>
      <c r="D140">
        <f>LN(Table1[[#This Row],[IPC_real]]/B141)</f>
        <v>-3.5967459515431877E-3</v>
      </c>
      <c r="E140">
        <f>LN(Table1[[#This Row],[MXNUSD_real]]/C141)</f>
        <v>1.3195528832381074E-2</v>
      </c>
      <c r="N140" s="4">
        <v>0.88266781626693214</v>
      </c>
    </row>
    <row r="141" spans="1:14" x14ac:dyDescent="0.25">
      <c r="A141" s="1">
        <v>40708</v>
      </c>
      <c r="B141" s="2">
        <v>35445.65</v>
      </c>
      <c r="C141" s="2">
        <v>11.782</v>
      </c>
      <c r="D141">
        <f>LN(Table1[[#This Row],[IPC_real]]/B142)</f>
        <v>1.2710477602048291E-2</v>
      </c>
      <c r="E141">
        <f>LN(Table1[[#This Row],[MXNUSD_real]]/C142)</f>
        <v>-7.0199467882312693E-3</v>
      </c>
      <c r="N141" s="4">
        <v>0.88861940377973114</v>
      </c>
    </row>
    <row r="142" spans="1:14" x14ac:dyDescent="0.25">
      <c r="A142" s="1">
        <v>40707</v>
      </c>
      <c r="B142" s="2">
        <v>34997.97</v>
      </c>
      <c r="C142" s="2">
        <v>11.865</v>
      </c>
      <c r="D142">
        <f>LN(Table1[[#This Row],[IPC_real]]/B143)</f>
        <v>9.7739129515191417E-4</v>
      </c>
      <c r="E142">
        <f>LN(Table1[[#This Row],[MXNUSD_real]]/C143)</f>
        <v>-8.4277948724521571E-5</v>
      </c>
      <c r="N142" s="4">
        <v>0.88950547715570971</v>
      </c>
    </row>
    <row r="143" spans="1:14" x14ac:dyDescent="0.25">
      <c r="A143" s="1">
        <v>40704</v>
      </c>
      <c r="B143" s="2">
        <v>34963.78</v>
      </c>
      <c r="C143" s="2">
        <v>11.866</v>
      </c>
      <c r="D143">
        <f>LN(Table1[[#This Row],[IPC_real]]/B144)</f>
        <v>-7.6818278416828749E-3</v>
      </c>
      <c r="E143">
        <f>LN(Table1[[#This Row],[MXNUSD_real]]/C144)</f>
        <v>7.4437833140725248E-3</v>
      </c>
      <c r="N143" s="4">
        <v>0.88841350592367352</v>
      </c>
    </row>
    <row r="144" spans="1:14" x14ac:dyDescent="0.25">
      <c r="A144" s="1">
        <v>40703</v>
      </c>
      <c r="B144" s="2">
        <v>35233.4</v>
      </c>
      <c r="C144" s="2">
        <v>11.778</v>
      </c>
      <c r="D144">
        <f>LN(Table1[[#This Row],[IPC_real]]/B145)</f>
        <v>1.0107560512597376E-2</v>
      </c>
      <c r="E144">
        <f>LN(Table1[[#This Row],[MXNUSD_real]]/C145)</f>
        <v>-4.2784891479459514E-3</v>
      </c>
      <c r="N144" s="4">
        <v>0.88957170732197888</v>
      </c>
    </row>
    <row r="145" spans="1:14" x14ac:dyDescent="0.25">
      <c r="A145" s="1">
        <v>40702</v>
      </c>
      <c r="B145" s="2">
        <v>34879.07</v>
      </c>
      <c r="C145" s="2">
        <v>11.8285</v>
      </c>
      <c r="D145">
        <f>LN(Table1[[#This Row],[IPC_real]]/B146)</f>
        <v>-4.8040198760105235E-4</v>
      </c>
      <c r="E145">
        <f>LN(Table1[[#This Row],[MXNUSD_real]]/C146)</f>
        <v>9.1724283154198238E-3</v>
      </c>
      <c r="N145" s="4">
        <v>0.88586574301291243</v>
      </c>
    </row>
    <row r="146" spans="1:14" x14ac:dyDescent="0.25">
      <c r="A146" s="1">
        <v>40701</v>
      </c>
      <c r="B146" s="2">
        <v>34895.83</v>
      </c>
      <c r="C146" s="2">
        <v>11.720499999999999</v>
      </c>
      <c r="D146">
        <f>LN(Table1[[#This Row],[IPC_real]]/B147)</f>
        <v>6.3922082052350294E-3</v>
      </c>
      <c r="E146">
        <f>LN(Table1[[#This Row],[MXNUSD_real]]/C147)</f>
        <v>1.237914485876112E-3</v>
      </c>
      <c r="N146" s="4">
        <v>0.88184096524688504</v>
      </c>
    </row>
    <row r="147" spans="1:14" x14ac:dyDescent="0.25">
      <c r="A147" s="1">
        <v>40700</v>
      </c>
      <c r="B147" s="2">
        <v>34673.480000000003</v>
      </c>
      <c r="C147" s="2">
        <v>11.706</v>
      </c>
      <c r="D147">
        <f>LN(Table1[[#This Row],[IPC_real]]/B148)</f>
        <v>-1.2906396107438434E-2</v>
      </c>
      <c r="E147">
        <f>LN(Table1[[#This Row],[MXNUSD_real]]/C148)</f>
        <v>6.0837341147740092E-3</v>
      </c>
      <c r="N147" s="4">
        <v>0.88982054390492815</v>
      </c>
    </row>
    <row r="148" spans="1:14" x14ac:dyDescent="0.25">
      <c r="A148" s="1">
        <v>40697</v>
      </c>
      <c r="B148" s="2">
        <v>35123.89</v>
      </c>
      <c r="C148" s="2">
        <v>11.635</v>
      </c>
      <c r="D148">
        <f>LN(Table1[[#This Row],[IPC_real]]/B149)</f>
        <v>-8.2892286302426454E-3</v>
      </c>
      <c r="E148">
        <f>LN(Table1[[#This Row],[MXNUSD_real]]/C149)</f>
        <v>-1.4600423429330948E-3</v>
      </c>
      <c r="N148" s="4">
        <v>0.88736784964959814</v>
      </c>
    </row>
    <row r="149" spans="1:14" x14ac:dyDescent="0.25">
      <c r="A149" s="1">
        <v>40696</v>
      </c>
      <c r="B149" s="2">
        <v>35416.25</v>
      </c>
      <c r="C149" s="2">
        <v>11.651999999999999</v>
      </c>
      <c r="D149">
        <f>LN(Table1[[#This Row],[IPC_real]]/B150)</f>
        <v>1.6208563013664026E-4</v>
      </c>
      <c r="E149">
        <f>LN(Table1[[#This Row],[MXNUSD_real]]/C150)</f>
        <v>5.1506568225984279E-4</v>
      </c>
      <c r="N149" s="4">
        <v>0.88437378534847189</v>
      </c>
    </row>
    <row r="150" spans="1:14" x14ac:dyDescent="0.25">
      <c r="A150" s="1">
        <v>40695</v>
      </c>
      <c r="B150" s="2">
        <v>35410.51</v>
      </c>
      <c r="C150" s="2">
        <v>11.646000000000001</v>
      </c>
      <c r="D150">
        <f>LN(Table1[[#This Row],[IPC_real]]/B151)</f>
        <v>-1.1854727262760927E-2</v>
      </c>
      <c r="E150">
        <f>LN(Table1[[#This Row],[MXNUSD_real]]/C151)</f>
        <v>6.6768862493285499E-3</v>
      </c>
      <c r="N150" s="4">
        <v>0.88888510587649749</v>
      </c>
    </row>
    <row r="151" spans="1:14" x14ac:dyDescent="0.25">
      <c r="A151" s="1">
        <v>40694</v>
      </c>
      <c r="B151" s="2">
        <v>35832.79</v>
      </c>
      <c r="C151" s="2">
        <v>11.5685</v>
      </c>
      <c r="D151">
        <f>LN(Table1[[#This Row],[IPC_real]]/B152)</f>
        <v>5.4121897267235784E-3</v>
      </c>
      <c r="E151">
        <f>LN(Table1[[#This Row],[MXNUSD_real]]/C152)</f>
        <v>-4.0975709168403875E-3</v>
      </c>
      <c r="N151" s="4">
        <v>0.88363544428391771</v>
      </c>
    </row>
    <row r="152" spans="1:14" x14ac:dyDescent="0.25">
      <c r="A152" s="1">
        <v>40693</v>
      </c>
      <c r="B152" s="2">
        <v>35639.379999999997</v>
      </c>
      <c r="C152" s="2">
        <v>11.616</v>
      </c>
      <c r="D152">
        <f>LN(Table1[[#This Row],[IPC_real]]/B153)</f>
        <v>-5.0328562242496384E-3</v>
      </c>
      <c r="E152">
        <f>LN(Table1[[#This Row],[MXNUSD_real]]/C153)</f>
        <v>-8.6084448897577812E-5</v>
      </c>
      <c r="N152" s="4">
        <v>0.8868675159025643</v>
      </c>
    </row>
    <row r="153" spans="1:14" x14ac:dyDescent="0.25">
      <c r="A153" s="1">
        <v>40690</v>
      </c>
      <c r="B153" s="2">
        <v>35819.199999999997</v>
      </c>
      <c r="C153" s="2">
        <v>11.617000000000001</v>
      </c>
      <c r="D153">
        <f>LN(Table1[[#This Row],[IPC_real]]/B154)</f>
        <v>2.151719193476908E-3</v>
      </c>
      <c r="E153">
        <f>LN(Table1[[#This Row],[MXNUSD_real]]/C154)</f>
        <v>-4.6804302116195944E-3</v>
      </c>
      <c r="N153" s="4">
        <v>0.8849411331190129</v>
      </c>
    </row>
    <row r="154" spans="1:14" x14ac:dyDescent="0.25">
      <c r="A154" s="1">
        <v>40689</v>
      </c>
      <c r="B154" s="2">
        <v>35742.21</v>
      </c>
      <c r="C154" s="2">
        <v>11.6715</v>
      </c>
      <c r="D154">
        <f>LN(Table1[[#This Row],[IPC_real]]/B155)</f>
        <v>6.844154849354335E-3</v>
      </c>
      <c r="E154">
        <f>LN(Table1[[#This Row],[MXNUSD_real]]/C155)</f>
        <v>-9.4202284948661987E-4</v>
      </c>
      <c r="N154" s="4">
        <v>0.88787716629803504</v>
      </c>
    </row>
    <row r="155" spans="1:14" x14ac:dyDescent="0.25">
      <c r="A155" s="1">
        <v>40688</v>
      </c>
      <c r="B155" s="2">
        <v>35498.42</v>
      </c>
      <c r="C155" s="2">
        <v>11.682499999999999</v>
      </c>
      <c r="D155">
        <f>LN(Table1[[#This Row],[IPC_real]]/B156)</f>
        <v>3.269145070679145E-3</v>
      </c>
      <c r="E155">
        <f>LN(Table1[[#This Row],[MXNUSD_real]]/C156)</f>
        <v>8.560178056923415E-5</v>
      </c>
      <c r="N155" s="4">
        <v>0.88714237492087056</v>
      </c>
    </row>
    <row r="156" spans="1:14" x14ac:dyDescent="0.25">
      <c r="A156" s="1">
        <v>40687</v>
      </c>
      <c r="B156" s="2">
        <v>35382.559999999998</v>
      </c>
      <c r="C156" s="2">
        <v>11.6815</v>
      </c>
      <c r="D156">
        <f>LN(Table1[[#This Row],[IPC_real]]/B157)</f>
        <v>4.7463472409588429E-3</v>
      </c>
      <c r="E156">
        <f>LN(Table1[[#This Row],[MXNUSD_real]]/C157)</f>
        <v>-4.2711379157639147E-3</v>
      </c>
      <c r="N156" s="4">
        <v>0.88469515675058386</v>
      </c>
    </row>
    <row r="157" spans="1:14" x14ac:dyDescent="0.25">
      <c r="A157" s="1">
        <v>40686</v>
      </c>
      <c r="B157" s="2">
        <v>35215.019999999997</v>
      </c>
      <c r="C157" s="2">
        <v>11.7315</v>
      </c>
      <c r="D157">
        <f>LN(Table1[[#This Row],[IPC_real]]/B158)</f>
        <v>-2.3725900386179547E-3</v>
      </c>
      <c r="E157">
        <f>LN(Table1[[#This Row],[MXNUSD_real]]/C158)</f>
        <v>9.8940736451985367E-3</v>
      </c>
      <c r="N157" s="4">
        <v>0.88882182316157954</v>
      </c>
    </row>
    <row r="158" spans="1:14" x14ac:dyDescent="0.25">
      <c r="A158" s="1">
        <v>40683</v>
      </c>
      <c r="B158" s="2">
        <v>35298.67</v>
      </c>
      <c r="C158" s="2">
        <v>11.616</v>
      </c>
      <c r="D158">
        <f>LN(Table1[[#This Row],[IPC_real]]/B159)</f>
        <v>6.2911673238498359E-4</v>
      </c>
      <c r="E158">
        <f>LN(Table1[[#This Row],[MXNUSD_real]]/C159)</f>
        <v>-1.5054090027705068E-3</v>
      </c>
      <c r="N158" s="4">
        <v>0.88736852595159899</v>
      </c>
    </row>
    <row r="159" spans="1:14" x14ac:dyDescent="0.25">
      <c r="A159" s="1">
        <v>40682</v>
      </c>
      <c r="B159" s="2">
        <v>35276.47</v>
      </c>
      <c r="C159" s="2">
        <v>11.6335</v>
      </c>
      <c r="D159">
        <f>LN(Table1[[#This Row],[IPC_real]]/B160)</f>
        <v>-2.4875155803591735E-3</v>
      </c>
      <c r="E159">
        <f>LN(Table1[[#This Row],[MXNUSD_real]]/C160)</f>
        <v>-8.4312840299937217E-3</v>
      </c>
      <c r="N159" s="4">
        <v>0.88902500872308687</v>
      </c>
    </row>
    <row r="160" spans="1:14" x14ac:dyDescent="0.25">
      <c r="A160" s="1">
        <v>40681</v>
      </c>
      <c r="B160" s="2">
        <v>35364.33</v>
      </c>
      <c r="C160" s="2">
        <v>11.731999999999999</v>
      </c>
      <c r="D160">
        <f>LN(Table1[[#This Row],[IPC_real]]/B161)</f>
        <v>1.5524099984395818E-2</v>
      </c>
      <c r="E160">
        <f>LN(Table1[[#This Row],[MXNUSD_real]]/C161)</f>
        <v>-9.3716726773960971E-4</v>
      </c>
      <c r="N160" s="4">
        <v>0.88768673631710437</v>
      </c>
    </row>
    <row r="161" spans="1:14" x14ac:dyDescent="0.25">
      <c r="A161" s="1">
        <v>40680</v>
      </c>
      <c r="B161" s="2">
        <v>34819.57</v>
      </c>
      <c r="C161" s="2">
        <v>11.743</v>
      </c>
      <c r="D161">
        <f>LN(Table1[[#This Row],[IPC_real]]/B162)</f>
        <v>-8.8929605119765966E-3</v>
      </c>
      <c r="E161">
        <f>LN(Table1[[#This Row],[MXNUSD_real]]/C162)</f>
        <v>2.555039829937538E-4</v>
      </c>
      <c r="N161" s="4">
        <v>0.88730416278073365</v>
      </c>
    </row>
    <row r="162" spans="1:14" x14ac:dyDescent="0.25">
      <c r="A162" s="1">
        <v>40679</v>
      </c>
      <c r="B162" s="2">
        <v>35130.6</v>
      </c>
      <c r="C162" s="2">
        <v>11.74</v>
      </c>
      <c r="D162">
        <f>LN(Table1[[#This Row],[IPC_real]]/B163)</f>
        <v>2.4356007431286142E-3</v>
      </c>
      <c r="E162">
        <f>LN(Table1[[#This Row],[MXNUSD_real]]/C163)</f>
        <v>1.363791551304395E-3</v>
      </c>
      <c r="N162" s="4">
        <v>0.88888253828137653</v>
      </c>
    </row>
    <row r="163" spans="1:14" x14ac:dyDescent="0.25">
      <c r="A163" s="1">
        <v>40676</v>
      </c>
      <c r="B163" s="2">
        <v>35045.14</v>
      </c>
      <c r="C163" s="2">
        <v>11.724</v>
      </c>
      <c r="D163">
        <f>LN(Table1[[#This Row],[IPC_real]]/B164)</f>
        <v>-3.307963544295025E-3</v>
      </c>
      <c r="E163">
        <f>LN(Table1[[#This Row],[MXNUSD_real]]/C164)</f>
        <v>6.331842836936395E-3</v>
      </c>
      <c r="N163" s="4">
        <v>0.88332144882068953</v>
      </c>
    </row>
    <row r="164" spans="1:14" x14ac:dyDescent="0.25">
      <c r="A164" s="1">
        <v>40675</v>
      </c>
      <c r="B164" s="2">
        <v>35161.26</v>
      </c>
      <c r="C164" s="2">
        <v>11.65</v>
      </c>
      <c r="D164">
        <f>LN(Table1[[#This Row],[IPC_real]]/B165)</f>
        <v>-6.2167604818973285E-3</v>
      </c>
      <c r="E164">
        <f>LN(Table1[[#This Row],[MXNUSD_real]]/C165)</f>
        <v>-2.1436235432514528E-3</v>
      </c>
      <c r="N164" s="4">
        <v>0.88789376656481189</v>
      </c>
    </row>
    <row r="165" spans="1:14" x14ac:dyDescent="0.25">
      <c r="A165" s="1">
        <v>40674</v>
      </c>
      <c r="B165" s="2">
        <v>35380.53</v>
      </c>
      <c r="C165" s="2">
        <v>11.675000000000001</v>
      </c>
      <c r="D165">
        <f>LN(Table1[[#This Row],[IPC_real]]/B166)</f>
        <v>-8.3983693611479043E-3</v>
      </c>
      <c r="E165">
        <f>LN(Table1[[#This Row],[MXNUSD_real]]/C166)</f>
        <v>7.5660235400358822E-3</v>
      </c>
      <c r="N165" s="4">
        <v>0.89028511245970754</v>
      </c>
    </row>
    <row r="166" spans="1:14" x14ac:dyDescent="0.25">
      <c r="A166" s="1">
        <v>40673</v>
      </c>
      <c r="B166" s="2">
        <v>35678.92</v>
      </c>
      <c r="C166" s="2">
        <v>11.587</v>
      </c>
      <c r="D166">
        <f>LN(Table1[[#This Row],[IPC_real]]/B167)</f>
        <v>5.9570695516885019E-3</v>
      </c>
      <c r="E166">
        <f>LN(Table1[[#This Row],[MXNUSD_real]]/C167)</f>
        <v>-3.4461996715459604E-3</v>
      </c>
      <c r="N166" s="4">
        <v>0.88768494368503115</v>
      </c>
    </row>
    <row r="167" spans="1:14" x14ac:dyDescent="0.25">
      <c r="A167" s="1">
        <v>40672</v>
      </c>
      <c r="B167" s="2">
        <v>35467.01</v>
      </c>
      <c r="C167" s="2">
        <v>11.627000000000001</v>
      </c>
      <c r="D167">
        <f>LN(Table1[[#This Row],[IPC_real]]/B168)</f>
        <v>7.2095032022424215E-3</v>
      </c>
      <c r="E167">
        <f>LN(Table1[[#This Row],[MXNUSD_real]]/C168)</f>
        <v>-1.8045117678589949E-3</v>
      </c>
      <c r="N167" s="4">
        <v>0.88724029165636864</v>
      </c>
    </row>
    <row r="168" spans="1:14" x14ac:dyDescent="0.25">
      <c r="A168" s="1">
        <v>40669</v>
      </c>
      <c r="B168" s="2">
        <v>35212.230000000003</v>
      </c>
      <c r="C168" s="2">
        <v>11.648</v>
      </c>
      <c r="D168">
        <f>LN(Table1[[#This Row],[IPC_real]]/B169)</f>
        <v>-3.2000108965815907E-3</v>
      </c>
      <c r="E168">
        <f>LN(Table1[[#This Row],[MXNUSD_real]]/C169)</f>
        <v>-4.1124115530925482E-3</v>
      </c>
      <c r="N168" s="4">
        <v>0.88681932414532738</v>
      </c>
    </row>
    <row r="169" spans="1:14" x14ac:dyDescent="0.25">
      <c r="A169" s="1">
        <v>40668</v>
      </c>
      <c r="B169" s="2">
        <v>35325.089999999997</v>
      </c>
      <c r="C169" s="2">
        <v>11.696</v>
      </c>
      <c r="D169">
        <f>LN(Table1[[#This Row],[IPC_real]]/B170)</f>
        <v>-5.8182702852301342E-3</v>
      </c>
      <c r="E169">
        <f>LN(Table1[[#This Row],[MXNUSD_real]]/C170)</f>
        <v>7.6385386209371726E-3</v>
      </c>
      <c r="N169" s="4">
        <v>0.88483851770338251</v>
      </c>
    </row>
    <row r="170" spans="1:14" x14ac:dyDescent="0.25">
      <c r="A170" s="1">
        <v>40667</v>
      </c>
      <c r="B170" s="2">
        <v>35531.22</v>
      </c>
      <c r="C170" s="2">
        <v>11.606999999999999</v>
      </c>
      <c r="D170">
        <f>LN(Table1[[#This Row],[IPC_real]]/B171)</f>
        <v>-9.5790307413051844E-3</v>
      </c>
      <c r="E170">
        <f>LN(Table1[[#This Row],[MXNUSD_real]]/C171)</f>
        <v>2.7607644141879363E-3</v>
      </c>
      <c r="N170" s="4">
        <v>0.88812598659745878</v>
      </c>
    </row>
    <row r="171" spans="1:14" x14ac:dyDescent="0.25">
      <c r="A171" s="1">
        <v>40666</v>
      </c>
      <c r="B171" s="2">
        <v>35873.21</v>
      </c>
      <c r="C171" s="2">
        <v>11.574999999999999</v>
      </c>
      <c r="D171">
        <f>LN(Table1[[#This Row],[IPC_real]]/B172)</f>
        <v>-1.9855530087346175E-2</v>
      </c>
      <c r="E171">
        <f>LN(Table1[[#This Row],[MXNUSD_real]]/C172)</f>
        <v>6.5875249057699235E-3</v>
      </c>
      <c r="N171" s="4">
        <v>0.8843222102275351</v>
      </c>
    </row>
    <row r="172" spans="1:14" x14ac:dyDescent="0.25">
      <c r="A172" s="1">
        <v>40665</v>
      </c>
      <c r="B172" s="2">
        <v>36592.61</v>
      </c>
      <c r="C172" s="2">
        <v>11.499000000000001</v>
      </c>
      <c r="D172">
        <f>LN(Table1[[#This Row],[IPC_real]]/B173)</f>
        <v>-1.006082425504699E-2</v>
      </c>
      <c r="E172">
        <f>LN(Table1[[#This Row],[MXNUSD_real]]/C173)</f>
        <v>-3.4779584734548954E-4</v>
      </c>
      <c r="N172" s="4">
        <v>0.88859237953213699</v>
      </c>
    </row>
    <row r="173" spans="1:14" x14ac:dyDescent="0.25">
      <c r="A173" s="1">
        <v>40662</v>
      </c>
      <c r="B173" s="2">
        <v>36962.620000000003</v>
      </c>
      <c r="C173" s="2">
        <v>11.503</v>
      </c>
      <c r="D173">
        <f>LN(Table1[[#This Row],[IPC_real]]/B174)</f>
        <v>6.5136731142006561E-3</v>
      </c>
      <c r="E173">
        <f>LN(Table1[[#This Row],[MXNUSD_real]]/C174)</f>
        <v>-5.1592319246703761E-3</v>
      </c>
      <c r="N173" s="4">
        <v>0.88800290234625534</v>
      </c>
    </row>
    <row r="174" spans="1:14" x14ac:dyDescent="0.25">
      <c r="A174" s="1">
        <v>40661</v>
      </c>
      <c r="B174" s="2">
        <v>36722.639999999999</v>
      </c>
      <c r="C174" s="2">
        <v>11.5625</v>
      </c>
      <c r="D174">
        <f>LN(Table1[[#This Row],[IPC_real]]/B175)</f>
        <v>-2.8359124300833954E-3</v>
      </c>
      <c r="E174">
        <f>LN(Table1[[#This Row],[MXNUSD_real]]/C175)</f>
        <v>1.7298793452309152E-4</v>
      </c>
      <c r="N174" s="4">
        <v>0.88882702148814985</v>
      </c>
    </row>
    <row r="175" spans="1:14" x14ac:dyDescent="0.25">
      <c r="A175" s="1">
        <v>40660</v>
      </c>
      <c r="B175" s="2">
        <v>36826.93</v>
      </c>
      <c r="C175" s="2">
        <v>11.560499999999999</v>
      </c>
      <c r="D175">
        <f>LN(Table1[[#This Row],[IPC_real]]/B176)</f>
        <v>-1.7718598048961798E-3</v>
      </c>
      <c r="E175">
        <f>LN(Table1[[#This Row],[MXNUSD_real]]/C176)</f>
        <v>-1.0806839619201946E-3</v>
      </c>
      <c r="N175" s="4">
        <v>0.88429156937224995</v>
      </c>
    </row>
    <row r="176" spans="1:14" x14ac:dyDescent="0.25">
      <c r="A176" s="1">
        <v>40659</v>
      </c>
      <c r="B176" s="2">
        <v>36892.239999999998</v>
      </c>
      <c r="C176" s="2">
        <v>11.573</v>
      </c>
      <c r="D176">
        <f>LN(Table1[[#This Row],[IPC_real]]/B177)</f>
        <v>8.5583057393064923E-4</v>
      </c>
      <c r="E176">
        <f>LN(Table1[[#This Row],[MXNUSD_real]]/C177)</f>
        <v>-3.2350622386680254E-3</v>
      </c>
      <c r="N176" s="4">
        <v>0.88627793268941646</v>
      </c>
    </row>
    <row r="177" spans="1:14" x14ac:dyDescent="0.25">
      <c r="A177" s="1">
        <v>40658</v>
      </c>
      <c r="B177" s="2">
        <v>36860.68</v>
      </c>
      <c r="C177" s="2">
        <v>11.6105</v>
      </c>
      <c r="D177">
        <f>LN(Table1[[#This Row],[IPC_real]]/B178)</f>
        <v>1.2044467441988307E-3</v>
      </c>
      <c r="E177">
        <f>LN(Table1[[#This Row],[MXNUSD_real]]/C178)</f>
        <v>-1.1620651633730422E-3</v>
      </c>
      <c r="N177" s="4">
        <v>0.88473235833925468</v>
      </c>
    </row>
    <row r="178" spans="1:14" x14ac:dyDescent="0.25">
      <c r="A178" s="1">
        <v>40653</v>
      </c>
      <c r="B178" s="2">
        <v>36816.31</v>
      </c>
      <c r="C178" s="2">
        <v>11.624000000000001</v>
      </c>
      <c r="D178">
        <f>LN(Table1[[#This Row],[IPC_real]]/B179)</f>
        <v>1.0267843814466625E-2</v>
      </c>
      <c r="E178">
        <f>LN(Table1[[#This Row],[MXNUSD_real]]/C179)</f>
        <v>-4.9772693501358356E-3</v>
      </c>
      <c r="N178" s="4">
        <v>0.88746629356869833</v>
      </c>
    </row>
    <row r="179" spans="1:14" x14ac:dyDescent="0.25">
      <c r="A179" s="1">
        <v>40652</v>
      </c>
      <c r="B179" s="2">
        <v>36440.22</v>
      </c>
      <c r="C179" s="2">
        <v>11.682</v>
      </c>
      <c r="D179">
        <f>LN(Table1[[#This Row],[IPC_real]]/B180)</f>
        <v>2.971461664395015E-3</v>
      </c>
      <c r="E179">
        <f>LN(Table1[[#This Row],[MXNUSD_real]]/C180)</f>
        <v>-5.5486932236312302E-3</v>
      </c>
      <c r="N179" s="4">
        <v>0.88919042432674844</v>
      </c>
    </row>
    <row r="180" spans="1:14" x14ac:dyDescent="0.25">
      <c r="A180" s="1">
        <v>40651</v>
      </c>
      <c r="B180" s="2">
        <v>36332.1</v>
      </c>
      <c r="C180" s="2">
        <v>11.747</v>
      </c>
      <c r="D180">
        <f>LN(Table1[[#This Row],[IPC_real]]/B181)</f>
        <v>-1.7902161234105898E-2</v>
      </c>
      <c r="E180">
        <f>LN(Table1[[#This Row],[MXNUSD_real]]/C181)</f>
        <v>6.2337420601496123E-3</v>
      </c>
      <c r="N180" s="4">
        <v>0.88727133378853973</v>
      </c>
    </row>
    <row r="181" spans="1:14" x14ac:dyDescent="0.25">
      <c r="A181" s="1">
        <v>40648</v>
      </c>
      <c r="B181" s="2">
        <v>36988.379999999997</v>
      </c>
      <c r="C181" s="2">
        <v>11.673999999999999</v>
      </c>
      <c r="D181">
        <f>LN(Table1[[#This Row],[IPC_real]]/B182)</f>
        <v>-2.2031288575356267E-3</v>
      </c>
      <c r="E181">
        <f>LN(Table1[[#This Row],[MXNUSD_real]]/C182)</f>
        <v>-4.4018105647585827E-3</v>
      </c>
      <c r="N181" s="4">
        <v>0.88773786848149938</v>
      </c>
    </row>
    <row r="182" spans="1:14" x14ac:dyDescent="0.25">
      <c r="A182" s="1">
        <v>40647</v>
      </c>
      <c r="B182" s="2">
        <v>37069.96</v>
      </c>
      <c r="C182" s="2">
        <v>11.7255</v>
      </c>
      <c r="D182">
        <f>LN(Table1[[#This Row],[IPC_real]]/B183)</f>
        <v>-7.4641241542354525E-3</v>
      </c>
      <c r="E182">
        <f>LN(Table1[[#This Row],[MXNUSD_real]]/C183)</f>
        <v>-5.7825748954353079E-3</v>
      </c>
      <c r="N182" s="4">
        <v>0.888517467190718</v>
      </c>
    </row>
    <row r="183" spans="1:14" x14ac:dyDescent="0.25">
      <c r="A183" s="1">
        <v>40646</v>
      </c>
      <c r="B183" s="2">
        <v>37347.69</v>
      </c>
      <c r="C183" s="2">
        <v>11.7935</v>
      </c>
      <c r="D183">
        <f>LN(Table1[[#This Row],[IPC_real]]/B184)</f>
        <v>6.9345594934430222E-4</v>
      </c>
      <c r="E183">
        <f>LN(Table1[[#This Row],[MXNUSD_real]]/C184)</f>
        <v>-1.6944130796000408E-3</v>
      </c>
      <c r="N183" s="4">
        <v>0.88776782423968459</v>
      </c>
    </row>
    <row r="184" spans="1:14" x14ac:dyDescent="0.25">
      <c r="A184" s="1">
        <v>40645</v>
      </c>
      <c r="B184" s="2">
        <v>37321.800000000003</v>
      </c>
      <c r="C184" s="2">
        <v>11.813499999999999</v>
      </c>
      <c r="D184">
        <f>LN(Table1[[#This Row],[IPC_real]]/B185)</f>
        <v>-7.1782749792799897E-3</v>
      </c>
      <c r="E184">
        <f>LN(Table1[[#This Row],[MXNUSD_real]]/C185)</f>
        <v>6.4541007870117005E-3</v>
      </c>
      <c r="N184" s="4">
        <v>0.88912771876281549</v>
      </c>
    </row>
    <row r="185" spans="1:14" x14ac:dyDescent="0.25">
      <c r="A185" s="1">
        <v>40644</v>
      </c>
      <c r="B185" s="2">
        <v>37590.67</v>
      </c>
      <c r="C185" s="2">
        <v>11.737500000000001</v>
      </c>
      <c r="D185">
        <f>LN(Table1[[#This Row],[IPC_real]]/B186)</f>
        <v>3.1693661651294438E-3</v>
      </c>
      <c r="E185">
        <f>LN(Table1[[#This Row],[MXNUSD_real]]/C186)</f>
        <v>2.5562372327332151E-4</v>
      </c>
      <c r="N185" s="4">
        <v>0.88932398344835495</v>
      </c>
    </row>
    <row r="186" spans="1:14" x14ac:dyDescent="0.25">
      <c r="A186" s="1">
        <v>40641</v>
      </c>
      <c r="B186" s="2">
        <v>37471.72</v>
      </c>
      <c r="C186" s="2">
        <v>11.734500000000001</v>
      </c>
      <c r="D186">
        <f>LN(Table1[[#This Row],[IPC_real]]/B187)</f>
        <v>4.8036341093426587E-6</v>
      </c>
      <c r="E186">
        <f>LN(Table1[[#This Row],[MXNUSD_real]]/C187)</f>
        <v>-4.2518878631973289E-3</v>
      </c>
      <c r="N186" s="4">
        <v>0.88487913824368691</v>
      </c>
    </row>
    <row r="187" spans="1:14" x14ac:dyDescent="0.25">
      <c r="A187" s="1">
        <v>40640</v>
      </c>
      <c r="B187" s="2">
        <v>37471.54</v>
      </c>
      <c r="C187" s="2">
        <v>11.7845</v>
      </c>
      <c r="D187">
        <f>LN(Table1[[#This Row],[IPC_real]]/B188)</f>
        <v>-1.0361240843713411E-2</v>
      </c>
      <c r="E187">
        <f>LN(Table1[[#This Row],[MXNUSD_real]]/C188)</f>
        <v>-8.4821244323790871E-4</v>
      </c>
      <c r="N187" s="4">
        <v>0.88892813133853432</v>
      </c>
    </row>
    <row r="188" spans="1:14" x14ac:dyDescent="0.25">
      <c r="A188" s="1">
        <v>40639</v>
      </c>
      <c r="B188" s="2">
        <v>37861.81</v>
      </c>
      <c r="C188" s="2">
        <v>11.794499999999999</v>
      </c>
      <c r="D188">
        <f>LN(Table1[[#This Row],[IPC_real]]/B189)</f>
        <v>7.6227198779945488E-4</v>
      </c>
      <c r="E188">
        <f>LN(Table1[[#This Row],[MXNUSD_real]]/C189)</f>
        <v>-1.8212241115354872E-3</v>
      </c>
      <c r="N188" s="4">
        <v>0.8894037629231395</v>
      </c>
    </row>
    <row r="189" spans="1:14" x14ac:dyDescent="0.25">
      <c r="A189" s="1">
        <v>40638</v>
      </c>
      <c r="B189" s="2">
        <v>37832.959999999999</v>
      </c>
      <c r="C189" s="2">
        <v>11.816000000000001</v>
      </c>
      <c r="D189">
        <f>LN(Table1[[#This Row],[IPC_real]]/B190)</f>
        <v>-1.864886367052502E-3</v>
      </c>
      <c r="E189">
        <f>LN(Table1[[#This Row],[MXNUSD_real]]/C190)</f>
        <v>-3.7590059678756591E-3</v>
      </c>
      <c r="N189" s="4">
        <v>0.88796279240119147</v>
      </c>
    </row>
    <row r="190" spans="1:14" x14ac:dyDescent="0.25">
      <c r="A190" s="1">
        <v>40637</v>
      </c>
      <c r="B190" s="2">
        <v>37903.58</v>
      </c>
      <c r="C190" s="2">
        <v>11.8605</v>
      </c>
      <c r="D190">
        <f>LN(Table1[[#This Row],[IPC_real]]/B191)</f>
        <v>3.3962054957844576E-3</v>
      </c>
      <c r="E190">
        <f>LN(Table1[[#This Row],[MXNUSD_real]]/C191)</f>
        <v>2.1523082310070168E-3</v>
      </c>
      <c r="N190" s="4">
        <v>0.88478780830699044</v>
      </c>
    </row>
    <row r="191" spans="1:14" x14ac:dyDescent="0.25">
      <c r="A191" s="1">
        <v>40634</v>
      </c>
      <c r="B191" s="2">
        <v>37775.07</v>
      </c>
      <c r="C191" s="2">
        <v>11.835000000000001</v>
      </c>
      <c r="D191">
        <f>LN(Table1[[#This Row],[IPC_real]]/B192)</f>
        <v>8.896087923031152E-3</v>
      </c>
      <c r="E191">
        <f>LN(Table1[[#This Row],[MXNUSD_real]]/C192)</f>
        <v>-4.5944147078675543E-3</v>
      </c>
      <c r="N191" s="4">
        <v>0.88724024658049416</v>
      </c>
    </row>
    <row r="192" spans="1:14" x14ac:dyDescent="0.25">
      <c r="A192" s="1">
        <v>40633</v>
      </c>
      <c r="B192" s="2">
        <v>37440.51</v>
      </c>
      <c r="C192" s="2">
        <v>11.8895</v>
      </c>
      <c r="D192">
        <f>LN(Table1[[#This Row],[IPC_real]]/B193)</f>
        <v>6.1684748653339861E-3</v>
      </c>
      <c r="E192">
        <f>LN(Table1[[#This Row],[MXNUSD_real]]/C193)</f>
        <v>-2.8975181420101484E-3</v>
      </c>
      <c r="N192" s="4">
        <v>0.88887581322580667</v>
      </c>
    </row>
    <row r="193" spans="1:14" x14ac:dyDescent="0.25">
      <c r="A193" s="1">
        <v>40632</v>
      </c>
      <c r="B193" s="2">
        <v>37210.269999999997</v>
      </c>
      <c r="C193" s="2">
        <v>11.923999999999999</v>
      </c>
      <c r="D193">
        <f>LN(Table1[[#This Row],[IPC_real]]/B194)</f>
        <v>1.1198644291086742E-2</v>
      </c>
      <c r="E193">
        <f>LN(Table1[[#This Row],[MXNUSD_real]]/C194)</f>
        <v>-2.9727658126978214E-3</v>
      </c>
      <c r="N193" s="4">
        <v>0.88765207722797745</v>
      </c>
    </row>
    <row r="194" spans="1:14" x14ac:dyDescent="0.25">
      <c r="A194" s="1">
        <v>40631</v>
      </c>
      <c r="B194" s="2">
        <v>36795.89</v>
      </c>
      <c r="C194" s="2">
        <v>11.9595</v>
      </c>
      <c r="D194">
        <f>LN(Table1[[#This Row],[IPC_real]]/B195)</f>
        <v>7.6206015480452635E-4</v>
      </c>
      <c r="E194">
        <f>LN(Table1[[#This Row],[MXNUSD_real]]/C195)</f>
        <v>2.5087807457236137E-4</v>
      </c>
      <c r="N194" s="4">
        <v>0.88800898443761711</v>
      </c>
    </row>
    <row r="195" spans="1:14" x14ac:dyDescent="0.25">
      <c r="A195" s="1">
        <v>40630</v>
      </c>
      <c r="B195" s="2">
        <v>36767.86</v>
      </c>
      <c r="C195" s="2">
        <v>11.9565</v>
      </c>
      <c r="D195">
        <f>LN(Table1[[#This Row],[IPC_real]]/B196)</f>
        <v>-4.4621414151505722E-4</v>
      </c>
      <c r="E195">
        <f>LN(Table1[[#This Row],[MXNUSD_real]]/C196)</f>
        <v>-1.9217920353271122E-3</v>
      </c>
      <c r="N195" s="4">
        <v>0.88870287816233096</v>
      </c>
    </row>
    <row r="196" spans="1:14" x14ac:dyDescent="0.25">
      <c r="A196" s="1">
        <v>40627</v>
      </c>
      <c r="B196" s="2">
        <v>36784.269999999997</v>
      </c>
      <c r="C196" s="2">
        <v>11.9795</v>
      </c>
      <c r="D196">
        <f>LN(Table1[[#This Row],[IPC_real]]/B197)</f>
        <v>-2.3924531465178678E-3</v>
      </c>
      <c r="E196">
        <f>LN(Table1[[#This Row],[MXNUSD_real]]/C197)</f>
        <v>3.2608724546975961E-3</v>
      </c>
      <c r="N196" s="4">
        <v>0.88651522121243154</v>
      </c>
    </row>
    <row r="197" spans="1:14" x14ac:dyDescent="0.25">
      <c r="A197" s="1">
        <v>40626</v>
      </c>
      <c r="B197" s="2">
        <v>36872.379999999997</v>
      </c>
      <c r="C197" s="2">
        <v>11.9405</v>
      </c>
      <c r="D197">
        <f>LN(Table1[[#This Row],[IPC_real]]/B198)</f>
        <v>8.8740554288735691E-3</v>
      </c>
      <c r="E197">
        <f>LN(Table1[[#This Row],[MXNUSD_real]]/C198)</f>
        <v>-3.6364436402836677E-3</v>
      </c>
      <c r="N197" s="4">
        <v>0.88899514948607583</v>
      </c>
    </row>
    <row r="198" spans="1:14" x14ac:dyDescent="0.25">
      <c r="A198" s="1">
        <v>40625</v>
      </c>
      <c r="B198" s="2">
        <v>36546.620000000003</v>
      </c>
      <c r="C198" s="2">
        <v>11.984</v>
      </c>
      <c r="D198">
        <f>LN(Table1[[#This Row],[IPC_real]]/B199)</f>
        <v>1.7145531422654008E-2</v>
      </c>
      <c r="E198">
        <f>LN(Table1[[#This Row],[MXNUSD_real]]/C199)</f>
        <v>5.8428280949387036E-4</v>
      </c>
      <c r="N198" s="4">
        <v>0.88839715472761915</v>
      </c>
    </row>
    <row r="199" spans="1:14" x14ac:dyDescent="0.25">
      <c r="A199" s="1">
        <v>40624</v>
      </c>
      <c r="B199" s="2">
        <v>35925.35</v>
      </c>
      <c r="C199" s="2">
        <v>11.977</v>
      </c>
      <c r="D199">
        <f>LN(Table1[[#This Row],[IPC_real]]/B200)</f>
        <v>1.4208891934214903E-2</v>
      </c>
      <c r="E199">
        <f>LN(Table1[[#This Row],[MXNUSD_real]]/C200)</f>
        <v>-6.906047333669672E-3</v>
      </c>
      <c r="N199" s="4">
        <v>0.88842403435792461</v>
      </c>
    </row>
    <row r="200" spans="1:14" x14ac:dyDescent="0.25">
      <c r="A200" s="1">
        <v>40620</v>
      </c>
      <c r="B200" s="2">
        <v>35418.5</v>
      </c>
      <c r="C200" s="2">
        <v>12.06</v>
      </c>
      <c r="D200">
        <f>LN(Table1[[#This Row],[IPC_real]]/B201)</f>
        <v>-5.7201587610700025E-3</v>
      </c>
      <c r="E200">
        <f>LN(Table1[[#This Row],[MXNUSD_real]]/C201)</f>
        <v>-4.426341849535771E-3</v>
      </c>
      <c r="N200" s="4">
        <v>0.88724203299898263</v>
      </c>
    </row>
    <row r="201" spans="1:14" x14ac:dyDescent="0.25">
      <c r="A201" s="1">
        <v>40619</v>
      </c>
      <c r="B201" s="2">
        <v>35621.68</v>
      </c>
      <c r="C201" s="2">
        <v>12.1135</v>
      </c>
      <c r="D201">
        <f>LN(Table1[[#This Row],[IPC_real]]/B202)</f>
        <v>-9.4364261160622949E-4</v>
      </c>
      <c r="E201">
        <f>LN(Table1[[#This Row],[MXNUSD_real]]/C202)</f>
        <v>-3.049788054625472E-3</v>
      </c>
      <c r="N201" s="4">
        <v>0.88804554852042861</v>
      </c>
    </row>
    <row r="202" spans="1:14" x14ac:dyDescent="0.25">
      <c r="A202" s="1">
        <v>40618</v>
      </c>
      <c r="B202" s="2">
        <v>35655.31</v>
      </c>
      <c r="C202" s="2">
        <v>12.150499999999999</v>
      </c>
      <c r="D202">
        <f>LN(Table1[[#This Row],[IPC_real]]/B203)</f>
        <v>-9.958853008531842E-3</v>
      </c>
      <c r="E202">
        <f>LN(Table1[[#This Row],[MXNUSD_real]]/C203)</f>
        <v>1.4382177237830961E-2</v>
      </c>
      <c r="N202" s="4">
        <v>0.88608117551009147</v>
      </c>
    </row>
    <row r="203" spans="1:14" x14ac:dyDescent="0.25">
      <c r="A203" s="1">
        <v>40617</v>
      </c>
      <c r="B203" s="2">
        <v>36012.17</v>
      </c>
      <c r="C203" s="2">
        <v>11.977</v>
      </c>
      <c r="D203">
        <f>LN(Table1[[#This Row],[IPC_real]]/B204)</f>
        <v>-5.3612853124525052E-3</v>
      </c>
      <c r="E203">
        <f>LN(Table1[[#This Row],[MXNUSD_real]]/C204)</f>
        <v>7.2483820021865732E-3</v>
      </c>
      <c r="N203" s="4">
        <v>0.88865965219966581</v>
      </c>
    </row>
    <row r="204" spans="1:14" x14ac:dyDescent="0.25">
      <c r="A204" s="1">
        <v>40616</v>
      </c>
      <c r="B204" s="2">
        <v>36205.760000000002</v>
      </c>
      <c r="C204" s="2">
        <v>11.890499999999999</v>
      </c>
      <c r="D204">
        <f>LN(Table1[[#This Row],[IPC_real]]/B205)</f>
        <v>3.16859973492724E-3</v>
      </c>
      <c r="E204">
        <f>LN(Table1[[#This Row],[MXNUSD_real]]/C205)</f>
        <v>-2.1003116180984749E-3</v>
      </c>
      <c r="N204" s="4">
        <v>0.88711619403345576</v>
      </c>
    </row>
    <row r="205" spans="1:14" x14ac:dyDescent="0.25">
      <c r="A205" s="1">
        <v>40613</v>
      </c>
      <c r="B205" s="2">
        <v>36091.22</v>
      </c>
      <c r="C205" s="2">
        <v>11.9155</v>
      </c>
      <c r="D205">
        <f>LN(Table1[[#This Row],[IPC_real]]/B206)</f>
        <v>5.5516313640828346E-3</v>
      </c>
      <c r="E205">
        <f>LN(Table1[[#This Row],[MXNUSD_real]]/C206)</f>
        <v>-4.6469846879511846E-3</v>
      </c>
      <c r="N205" s="4">
        <v>0.88978255074003576</v>
      </c>
    </row>
    <row r="206" spans="1:14" x14ac:dyDescent="0.25">
      <c r="A206" s="1">
        <v>40612</v>
      </c>
      <c r="B206" s="2">
        <v>35891.410000000003</v>
      </c>
      <c r="C206" s="2">
        <v>11.971</v>
      </c>
      <c r="D206">
        <f>LN(Table1[[#This Row],[IPC_real]]/B207)</f>
        <v>-1.5448679963905754E-2</v>
      </c>
      <c r="E206">
        <f>LN(Table1[[#This Row],[MXNUSD_real]]/C207)</f>
        <v>2.8442381563316306E-3</v>
      </c>
      <c r="N206" s="4">
        <v>0.88893667933839049</v>
      </c>
    </row>
    <row r="207" spans="1:14" x14ac:dyDescent="0.25">
      <c r="A207" s="1">
        <v>40611</v>
      </c>
      <c r="B207" s="2">
        <v>36450.19</v>
      </c>
      <c r="C207" s="2">
        <v>11.936999999999999</v>
      </c>
      <c r="D207">
        <f>LN(Table1[[#This Row],[IPC_real]]/B208)</f>
        <v>-6.5063258733383282E-3</v>
      </c>
      <c r="E207">
        <f>LN(Table1[[#This Row],[MXNUSD_real]]/C208)</f>
        <v>-6.1384470857599131E-3</v>
      </c>
      <c r="N207" s="4">
        <v>0.88845151297144165</v>
      </c>
    </row>
    <row r="208" spans="1:14" x14ac:dyDescent="0.25">
      <c r="A208" s="1">
        <v>40610</v>
      </c>
      <c r="B208" s="2">
        <v>36688.120000000003</v>
      </c>
      <c r="C208" s="2">
        <v>12.0105</v>
      </c>
      <c r="D208">
        <f>LN(Table1[[#This Row],[IPC_real]]/B209)</f>
        <v>2.3145966572236478E-3</v>
      </c>
      <c r="E208">
        <f>LN(Table1[[#This Row],[MXNUSD_real]]/C209)</f>
        <v>-3.490840098979073E-3</v>
      </c>
      <c r="N208" s="4">
        <v>0.88129094180755763</v>
      </c>
    </row>
    <row r="209" spans="1:14" x14ac:dyDescent="0.25">
      <c r="A209" s="1">
        <v>40609</v>
      </c>
      <c r="B209" s="2">
        <v>36603.300000000003</v>
      </c>
      <c r="C209" s="2">
        <v>12.0525</v>
      </c>
      <c r="D209">
        <f>LN(Table1[[#This Row],[IPC_real]]/B210)</f>
        <v>-8.0959147377989548E-3</v>
      </c>
      <c r="E209">
        <f>LN(Table1[[#This Row],[MXNUSD_real]]/C210)</f>
        <v>4.3654575096399983E-3</v>
      </c>
      <c r="N209" s="4">
        <v>0.88445602822441072</v>
      </c>
    </row>
    <row r="210" spans="1:14" x14ac:dyDescent="0.25">
      <c r="A210" s="1">
        <v>40606</v>
      </c>
      <c r="B210" s="2">
        <v>36900.839999999997</v>
      </c>
      <c r="C210" s="2">
        <v>12</v>
      </c>
      <c r="D210">
        <f>LN(Table1[[#This Row],[IPC_real]]/B211)</f>
        <v>-6.2712085044579497E-3</v>
      </c>
      <c r="E210">
        <f>LN(Table1[[#This Row],[MXNUSD_real]]/C211)</f>
        <v>-2.9162414021328243E-4</v>
      </c>
      <c r="N210" s="4">
        <v>0.88811030448621675</v>
      </c>
    </row>
    <row r="211" spans="1:14" x14ac:dyDescent="0.25">
      <c r="A211" s="1">
        <v>40605</v>
      </c>
      <c r="B211" s="2">
        <v>37132.980000000003</v>
      </c>
      <c r="C211" s="2">
        <v>12.003500000000001</v>
      </c>
      <c r="D211">
        <f>LN(Table1[[#This Row],[IPC_real]]/B212)</f>
        <v>7.282808093303136E-3</v>
      </c>
      <c r="E211">
        <f>LN(Table1[[#This Row],[MXNUSD_real]]/C212)</f>
        <v>-7.635208675772354E-3</v>
      </c>
      <c r="N211" s="4">
        <v>0.88901340368828219</v>
      </c>
    </row>
    <row r="212" spans="1:14" x14ac:dyDescent="0.25">
      <c r="A212" s="1">
        <v>40604</v>
      </c>
      <c r="B212" s="2">
        <v>36863.53</v>
      </c>
      <c r="C212" s="2">
        <v>12.095499999999999</v>
      </c>
      <c r="D212">
        <f>LN(Table1[[#This Row],[IPC_real]]/B213)</f>
        <v>2.5923659821491998E-3</v>
      </c>
      <c r="E212">
        <f>LN(Table1[[#This Row],[MXNUSD_real]]/C213)</f>
        <v>-2.9718930529113695E-3</v>
      </c>
      <c r="N212" s="4">
        <v>0.88624519993110462</v>
      </c>
    </row>
    <row r="213" spans="1:14" x14ac:dyDescent="0.25">
      <c r="A213" s="1">
        <v>40603</v>
      </c>
      <c r="B213" s="2">
        <v>36768.089999999997</v>
      </c>
      <c r="C213" s="2">
        <v>12.131500000000001</v>
      </c>
      <c r="D213">
        <f>LN(Table1[[#This Row],[IPC_real]]/B214)</f>
        <v>-6.819853940773093E-3</v>
      </c>
      <c r="E213">
        <f>LN(Table1[[#This Row],[MXNUSD_real]]/C214)</f>
        <v>2.0628772064978482E-3</v>
      </c>
      <c r="N213" s="4">
        <v>0.88952454240996037</v>
      </c>
    </row>
    <row r="214" spans="1:14" x14ac:dyDescent="0.25">
      <c r="A214" s="1">
        <v>40602</v>
      </c>
      <c r="B214" s="2">
        <v>37019.699999999997</v>
      </c>
      <c r="C214" s="2">
        <v>12.1065</v>
      </c>
      <c r="D214">
        <f>LN(Table1[[#This Row],[IPC_real]]/B215)</f>
        <v>3.7753817176202488E-3</v>
      </c>
      <c r="E214">
        <f>LN(Table1[[#This Row],[MXNUSD_real]]/C215)</f>
        <v>-5.3675758426540972E-4</v>
      </c>
      <c r="N214" s="4">
        <v>0.888608184226368</v>
      </c>
    </row>
    <row r="215" spans="1:14" x14ac:dyDescent="0.25">
      <c r="A215" s="1">
        <v>40599</v>
      </c>
      <c r="B215" s="2">
        <v>36880.199999999997</v>
      </c>
      <c r="C215" s="2">
        <v>12.113</v>
      </c>
      <c r="D215">
        <f>LN(Table1[[#This Row],[IPC_real]]/B216)</f>
        <v>1.1827743523534277E-2</v>
      </c>
      <c r="E215">
        <f>LN(Table1[[#This Row],[MXNUSD_real]]/C216)</f>
        <v>-2.1853425870641281E-3</v>
      </c>
      <c r="N215" s="4">
        <v>0.88564105996012965</v>
      </c>
    </row>
    <row r="216" spans="1:14" x14ac:dyDescent="0.25">
      <c r="A216" s="1">
        <v>40598</v>
      </c>
      <c r="B216" s="2">
        <v>36446.559999999998</v>
      </c>
      <c r="C216" s="2">
        <v>12.1395</v>
      </c>
      <c r="D216">
        <f>LN(Table1[[#This Row],[IPC_real]]/B217)</f>
        <v>-4.8031405946254906E-4</v>
      </c>
      <c r="E216">
        <f>LN(Table1[[#This Row],[MXNUSD_real]]/C217)</f>
        <v>-4.8893825448712673E-3</v>
      </c>
      <c r="N216" s="4">
        <v>0.88744534456332635</v>
      </c>
    </row>
    <row r="217" spans="1:14" x14ac:dyDescent="0.25">
      <c r="A217" s="1">
        <v>40597</v>
      </c>
      <c r="B217" s="2">
        <v>36464.07</v>
      </c>
      <c r="C217" s="2">
        <v>12.199</v>
      </c>
      <c r="D217">
        <f>LN(Table1[[#This Row],[IPC_real]]/B218)</f>
        <v>-8.6689685538298891E-3</v>
      </c>
      <c r="E217">
        <f>LN(Table1[[#This Row],[MXNUSD_real]]/C218)</f>
        <v>6.2495064021542892E-3</v>
      </c>
      <c r="N217" s="4">
        <v>0.89002447917104499</v>
      </c>
    </row>
    <row r="218" spans="1:14" x14ac:dyDescent="0.25">
      <c r="A218" s="1">
        <v>40596</v>
      </c>
      <c r="B218" s="2">
        <v>36781.550000000003</v>
      </c>
      <c r="C218" s="2">
        <v>12.122999999999999</v>
      </c>
      <c r="D218">
        <f>LN(Table1[[#This Row],[IPC_real]]/B219)</f>
        <v>-1.2442138471946737E-2</v>
      </c>
      <c r="E218">
        <f>LN(Table1[[#This Row],[MXNUSD_real]]/C219)</f>
        <v>4.7128947458761105E-3</v>
      </c>
      <c r="N218" s="4">
        <v>0.88842372278796033</v>
      </c>
    </row>
    <row r="219" spans="1:14" x14ac:dyDescent="0.25">
      <c r="A219" s="1">
        <v>40595</v>
      </c>
      <c r="B219" s="2">
        <v>37242.050000000003</v>
      </c>
      <c r="C219" s="2">
        <v>12.066000000000001</v>
      </c>
      <c r="D219">
        <f>LN(Table1[[#This Row],[IPC_real]]/B220)</f>
        <v>-7.4969236699894727E-3</v>
      </c>
      <c r="E219">
        <f>LN(Table1[[#This Row],[MXNUSD_real]]/C220)</f>
        <v>3.3206074011931362E-3</v>
      </c>
      <c r="N219" s="4">
        <v>0.88654990458249583</v>
      </c>
    </row>
    <row r="220" spans="1:14" x14ac:dyDescent="0.25">
      <c r="A220" s="1">
        <v>40592</v>
      </c>
      <c r="B220" s="2">
        <v>37522.300000000003</v>
      </c>
      <c r="C220" s="2">
        <v>12.026</v>
      </c>
      <c r="D220">
        <f>LN(Table1[[#This Row],[IPC_real]]/B221)</f>
        <v>7.9164300229881378E-3</v>
      </c>
      <c r="E220">
        <f>LN(Table1[[#This Row],[MXNUSD_real]]/C221)</f>
        <v>6.2384331079765184E-4</v>
      </c>
      <c r="N220" s="4">
        <v>0.88753662548746914</v>
      </c>
    </row>
    <row r="221" spans="1:14" x14ac:dyDescent="0.25">
      <c r="A221" s="1">
        <v>40591</v>
      </c>
      <c r="B221" s="2">
        <v>37226.43</v>
      </c>
      <c r="C221" s="2">
        <v>12.0185</v>
      </c>
      <c r="D221">
        <f>LN(Table1[[#This Row],[IPC_real]]/B222)</f>
        <v>4.0779929184075921E-3</v>
      </c>
      <c r="E221">
        <f>LN(Table1[[#This Row],[MXNUSD_real]]/C222)</f>
        <v>-6.0555971030490496E-3</v>
      </c>
      <c r="N221" s="4">
        <v>0.8881410813411641</v>
      </c>
    </row>
    <row r="222" spans="1:14" x14ac:dyDescent="0.25">
      <c r="A222" s="1">
        <v>40590</v>
      </c>
      <c r="B222" s="2">
        <v>37074.93</v>
      </c>
      <c r="C222" s="2">
        <v>12.0915</v>
      </c>
      <c r="D222">
        <f>LN(Table1[[#This Row],[IPC_real]]/B223)</f>
        <v>3.3415236361501476E-3</v>
      </c>
      <c r="E222">
        <f>LN(Table1[[#This Row],[MXNUSD_real]]/C223)</f>
        <v>-4.7029789653890049E-3</v>
      </c>
      <c r="N222" s="4">
        <v>0.88909736277631002</v>
      </c>
    </row>
    <row r="223" spans="1:14" x14ac:dyDescent="0.25">
      <c r="A223" s="1">
        <v>40589</v>
      </c>
      <c r="B223" s="2">
        <v>36951.25</v>
      </c>
      <c r="C223" s="2">
        <v>12.1485</v>
      </c>
      <c r="D223">
        <f>LN(Table1[[#This Row],[IPC_real]]/B224)</f>
        <v>-1.2895169858159121E-3</v>
      </c>
      <c r="E223">
        <f>LN(Table1[[#This Row],[MXNUSD_real]]/C224)</f>
        <v>9.095857973270751E-3</v>
      </c>
      <c r="N223" s="4">
        <v>0.88487261485671354</v>
      </c>
    </row>
    <row r="224" spans="1:14" x14ac:dyDescent="0.25">
      <c r="A224" s="1">
        <v>40588</v>
      </c>
      <c r="B224" s="2">
        <v>36998.93</v>
      </c>
      <c r="C224" s="2">
        <v>12.038500000000001</v>
      </c>
      <c r="D224">
        <f>LN(Table1[[#This Row],[IPC_real]]/B225)</f>
        <v>-3.394116698857272E-4</v>
      </c>
      <c r="E224">
        <f>LN(Table1[[#This Row],[MXNUSD_real]]/C225)</f>
        <v>8.3070277502547094E-5</v>
      </c>
      <c r="N224" s="4">
        <v>0.88550104103866645</v>
      </c>
    </row>
    <row r="225" spans="1:14" x14ac:dyDescent="0.25">
      <c r="A225" s="1">
        <v>40585</v>
      </c>
      <c r="B225" s="2">
        <v>37011.49</v>
      </c>
      <c r="C225" s="2">
        <v>12.0375</v>
      </c>
      <c r="D225">
        <f>LN(Table1[[#This Row],[IPC_real]]/B226)</f>
        <v>9.7568610070600109E-3</v>
      </c>
      <c r="E225">
        <f>LN(Table1[[#This Row],[MXNUSD_real]]/C226)</f>
        <v>-3.7727289209272077E-3</v>
      </c>
      <c r="N225" s="4">
        <v>0.88605756979866801</v>
      </c>
    </row>
    <row r="226" spans="1:14" x14ac:dyDescent="0.25">
      <c r="A226" s="1">
        <v>40584</v>
      </c>
      <c r="B226" s="2">
        <v>36652.129999999997</v>
      </c>
      <c r="C226" s="2">
        <v>12.083</v>
      </c>
      <c r="D226">
        <f>LN(Table1[[#This Row],[IPC_real]]/B227)</f>
        <v>-9.0933333916574776E-3</v>
      </c>
      <c r="E226">
        <f>LN(Table1[[#This Row],[MXNUSD_real]]/C227)</f>
        <v>2.7348461085071689E-3</v>
      </c>
      <c r="N226" s="4">
        <v>0.88710121739936765</v>
      </c>
    </row>
    <row r="227" spans="1:14" x14ac:dyDescent="0.25">
      <c r="A227" s="1">
        <v>40583</v>
      </c>
      <c r="B227" s="2">
        <v>36986.94</v>
      </c>
      <c r="C227" s="2">
        <v>12.05</v>
      </c>
      <c r="D227">
        <f>LN(Table1[[#This Row],[IPC_real]]/B228)</f>
        <v>-1.5525191650669836E-2</v>
      </c>
      <c r="E227">
        <f>LN(Table1[[#This Row],[MXNUSD_real]]/C228)</f>
        <v>2.8671769657411827E-3</v>
      </c>
      <c r="N227" s="4">
        <v>0.88949648985330887</v>
      </c>
    </row>
    <row r="228" spans="1:14" x14ac:dyDescent="0.25">
      <c r="A228" s="1">
        <v>40582</v>
      </c>
      <c r="B228" s="2">
        <v>37565.65</v>
      </c>
      <c r="C228" s="2">
        <v>12.015499999999999</v>
      </c>
      <c r="D228">
        <f>LN(Table1[[#This Row],[IPC_real]]/B229)</f>
        <v>3.0342280797810792E-3</v>
      </c>
      <c r="E228">
        <f>LN(Table1[[#This Row],[MXNUSD_real]]/C229)</f>
        <v>2.2913335165062956E-3</v>
      </c>
      <c r="N228" s="4">
        <v>0.88903282904845504</v>
      </c>
    </row>
    <row r="229" spans="1:14" x14ac:dyDescent="0.25">
      <c r="A229" s="1">
        <v>40578</v>
      </c>
      <c r="B229" s="2">
        <v>37451.839999999997</v>
      </c>
      <c r="C229" s="2">
        <v>11.988</v>
      </c>
      <c r="D229">
        <f>LN(Table1[[#This Row],[IPC_real]]/B230)</f>
        <v>-7.6403213922600363E-3</v>
      </c>
      <c r="E229">
        <f>LN(Table1[[#This Row],[MXNUSD_real]]/C230)</f>
        <v>-2.5825815162350248E-3</v>
      </c>
      <c r="N229" s="4">
        <v>0.88366856067818633</v>
      </c>
    </row>
    <row r="230" spans="1:14" x14ac:dyDescent="0.25">
      <c r="A230" s="1">
        <v>40577</v>
      </c>
      <c r="B230" s="2">
        <v>37739.08</v>
      </c>
      <c r="C230" s="2">
        <v>12.019</v>
      </c>
      <c r="D230">
        <f>LN(Table1[[#This Row],[IPC_real]]/B231)</f>
        <v>-5.5404028979747031E-3</v>
      </c>
      <c r="E230">
        <f>LN(Table1[[#This Row],[MXNUSD_real]]/C231)</f>
        <v>-8.7323539241305711E-4</v>
      </c>
      <c r="N230" s="4">
        <v>0.88730511311546523</v>
      </c>
    </row>
    <row r="231" spans="1:14" x14ac:dyDescent="0.25">
      <c r="A231" s="1">
        <v>40576</v>
      </c>
      <c r="B231" s="2">
        <v>37948.75</v>
      </c>
      <c r="C231" s="2">
        <v>12.029500000000001</v>
      </c>
      <c r="D231">
        <f>LN(Table1[[#This Row],[IPC_real]]/B232)</f>
        <v>8.7512476757959905E-3</v>
      </c>
      <c r="E231">
        <f>LN(Table1[[#This Row],[MXNUSD_real]]/C232)</f>
        <v>2.2470049401066101E-3</v>
      </c>
      <c r="N231" s="4">
        <v>0.88870771251123659</v>
      </c>
    </row>
    <row r="232" spans="1:14" x14ac:dyDescent="0.25">
      <c r="A232" s="1">
        <v>40575</v>
      </c>
      <c r="B232" s="2">
        <v>37618.1</v>
      </c>
      <c r="C232" s="2">
        <v>12.0025</v>
      </c>
      <c r="D232">
        <f>LN(Table1[[#This Row],[IPC_real]]/B233)</f>
        <v>1.7047520139609165E-2</v>
      </c>
      <c r="E232">
        <f>LN(Table1[[#This Row],[MXNUSD_real]]/C233)</f>
        <v>-1.2461091465704932E-2</v>
      </c>
      <c r="N232" s="4">
        <v>0.88628808728260988</v>
      </c>
    </row>
    <row r="233" spans="1:14" x14ac:dyDescent="0.25">
      <c r="A233" s="1">
        <v>40574</v>
      </c>
      <c r="B233" s="2">
        <v>36982.239999999998</v>
      </c>
      <c r="C233" s="2">
        <v>12.153</v>
      </c>
      <c r="D233">
        <f>LN(Table1[[#This Row],[IPC_real]]/B234)</f>
        <v>3.8611864834350242E-3</v>
      </c>
      <c r="E233">
        <f>LN(Table1[[#This Row],[MXNUSD_real]]/C234)</f>
        <v>-1.8086160799903046E-3</v>
      </c>
      <c r="N233" s="4">
        <v>0.88623619728994796</v>
      </c>
    </row>
    <row r="234" spans="1:14" x14ac:dyDescent="0.25">
      <c r="A234" s="1">
        <v>40571</v>
      </c>
      <c r="B234" s="2">
        <v>36839.72</v>
      </c>
      <c r="C234" s="2">
        <v>12.175000000000001</v>
      </c>
      <c r="D234">
        <f>LN(Table1[[#This Row],[IPC_real]]/B235)</f>
        <v>-1.6368681933030628E-2</v>
      </c>
      <c r="E234">
        <f>LN(Table1[[#This Row],[MXNUSD_real]]/C235)</f>
        <v>1.1690241978331732E-2</v>
      </c>
      <c r="N234" s="4">
        <v>0.88646120579269516</v>
      </c>
    </row>
    <row r="235" spans="1:14" x14ac:dyDescent="0.25">
      <c r="A235" s="1">
        <v>40570</v>
      </c>
      <c r="B235" s="2">
        <v>37447.699999999997</v>
      </c>
      <c r="C235" s="2">
        <v>12.0335</v>
      </c>
      <c r="D235">
        <f>LN(Table1[[#This Row],[IPC_real]]/B236)</f>
        <v>-3.6703842594259265E-3</v>
      </c>
      <c r="E235">
        <f>LN(Table1[[#This Row],[MXNUSD_real]]/C236)</f>
        <v>-1.2042440672158992E-3</v>
      </c>
      <c r="N235" s="4">
        <v>0.88828428819393845</v>
      </c>
    </row>
    <row r="236" spans="1:14" x14ac:dyDescent="0.25">
      <c r="A236" s="1">
        <v>40569</v>
      </c>
      <c r="B236" s="2">
        <v>37585.4</v>
      </c>
      <c r="C236" s="2">
        <v>12.048</v>
      </c>
      <c r="D236">
        <f>LN(Table1[[#This Row],[IPC_real]]/B237)</f>
        <v>3.0547816234867873E-3</v>
      </c>
      <c r="E236">
        <f>LN(Table1[[#This Row],[MXNUSD_real]]/C237)</f>
        <v>-4.2241335018030771E-3</v>
      </c>
      <c r="N236" s="4">
        <v>0.88766132738369063</v>
      </c>
    </row>
    <row r="237" spans="1:14" x14ac:dyDescent="0.25">
      <c r="A237" s="1">
        <v>40568</v>
      </c>
      <c r="B237" s="2">
        <v>37470.76</v>
      </c>
      <c r="C237" s="2">
        <v>12.099</v>
      </c>
      <c r="D237">
        <f>LN(Table1[[#This Row],[IPC_real]]/B238)</f>
        <v>-5.2473773781285772E-3</v>
      </c>
      <c r="E237">
        <f>LN(Table1[[#This Row],[MXNUSD_real]]/C238)</f>
        <v>4.7637877210893716E-3</v>
      </c>
      <c r="N237" s="4">
        <v>0.88647844174561607</v>
      </c>
    </row>
    <row r="238" spans="1:14" x14ac:dyDescent="0.25">
      <c r="A238" s="1">
        <v>40567</v>
      </c>
      <c r="B238" s="2">
        <v>37667.9</v>
      </c>
      <c r="C238" s="2">
        <v>12.041499999999999</v>
      </c>
      <c r="D238">
        <f>LN(Table1[[#This Row],[IPC_real]]/B239)</f>
        <v>9.2491545689013886E-3</v>
      </c>
      <c r="E238">
        <f>LN(Table1[[#This Row],[MXNUSD_real]]/C239)</f>
        <v>-3.026599047457959E-3</v>
      </c>
      <c r="N238" s="4">
        <v>0.89154916663392503</v>
      </c>
    </row>
    <row r="239" spans="1:14" x14ac:dyDescent="0.25">
      <c r="A239" s="1">
        <v>40564</v>
      </c>
      <c r="B239" s="2">
        <v>37321.11</v>
      </c>
      <c r="C239" s="2">
        <v>12.077999999999999</v>
      </c>
      <c r="D239">
        <f>LN(Table1[[#This Row],[IPC_real]]/B240)</f>
        <v>-7.0374022562241616E-3</v>
      </c>
      <c r="E239">
        <f>LN(Table1[[#This Row],[MXNUSD_real]]/C240)</f>
        <v>1.7816822960867336E-3</v>
      </c>
      <c r="N239" s="4">
        <v>0.88800439617614102</v>
      </c>
    </row>
    <row r="240" spans="1:14" x14ac:dyDescent="0.25">
      <c r="A240" s="1">
        <v>40563</v>
      </c>
      <c r="B240" s="2">
        <v>37584.68</v>
      </c>
      <c r="C240" s="2">
        <v>12.0565</v>
      </c>
      <c r="D240">
        <f>LN(Table1[[#This Row],[IPC_real]]/B241)</f>
        <v>-5.9813290202941922E-3</v>
      </c>
      <c r="E240">
        <f>LN(Table1[[#This Row],[MXNUSD_real]]/C241)</f>
        <v>-1.9472589170461442E-3</v>
      </c>
      <c r="N240" s="4">
        <v>0.88252500189663097</v>
      </c>
    </row>
    <row r="241" spans="1:14" x14ac:dyDescent="0.25">
      <c r="A241" s="1">
        <v>40562</v>
      </c>
      <c r="B241" s="2">
        <v>37810.160000000003</v>
      </c>
      <c r="C241" s="2">
        <v>12.08</v>
      </c>
      <c r="D241">
        <f>LN(Table1[[#This Row],[IPC_real]]/B242)</f>
        <v>-8.9819835869917198E-3</v>
      </c>
      <c r="E241">
        <f>LN(Table1[[#This Row],[MXNUSD_real]]/C242)</f>
        <v>3.9398703115414912E-3</v>
      </c>
      <c r="N241" s="4">
        <v>0.88778333422336908</v>
      </c>
    </row>
    <row r="242" spans="1:14" x14ac:dyDescent="0.25">
      <c r="A242" s="1">
        <v>40561</v>
      </c>
      <c r="B242" s="2">
        <v>38151.300000000003</v>
      </c>
      <c r="C242" s="2">
        <v>12.032500000000001</v>
      </c>
      <c r="D242">
        <f>LN(Table1[[#This Row],[IPC_real]]/B243)</f>
        <v>1.4266566841429687E-3</v>
      </c>
      <c r="E242">
        <f>LN(Table1[[#This Row],[MXNUSD_real]]/C243)</f>
        <v>1.8300549964662043E-3</v>
      </c>
      <c r="N242" s="4">
        <v>0.88886611331935228</v>
      </c>
    </row>
    <row r="243" spans="1:14" x14ac:dyDescent="0.25">
      <c r="A243" s="1">
        <v>40560</v>
      </c>
      <c r="B243" s="2">
        <v>38096.910000000003</v>
      </c>
      <c r="C243" s="2">
        <v>12.0105</v>
      </c>
      <c r="D243">
        <f>LN(Table1[[#This Row],[IPC_real]]/B244)</f>
        <v>2.6859737775912821E-3</v>
      </c>
      <c r="E243">
        <f>LN(Table1[[#This Row],[MXNUSD_real]]/C244)</f>
        <v>-1.9547095994988935E-3</v>
      </c>
      <c r="N243" s="4">
        <v>0.88548046699645389</v>
      </c>
    </row>
    <row r="244" spans="1:14" x14ac:dyDescent="0.25">
      <c r="A244" s="1">
        <v>40557</v>
      </c>
      <c r="B244" s="2">
        <v>37994.720000000001</v>
      </c>
      <c r="C244" s="2">
        <v>12.034000000000001</v>
      </c>
      <c r="D244">
        <f>LN(Table1[[#This Row],[IPC_real]]/B245)</f>
        <v>-1.9843584844764397E-3</v>
      </c>
      <c r="E244">
        <f>LN(Table1[[#This Row],[MXNUSD_real]]/C245)</f>
        <v>-6.7909163668308271E-3</v>
      </c>
      <c r="N244" s="4">
        <v>0.8884432437293367</v>
      </c>
    </row>
    <row r="245" spans="1:14" x14ac:dyDescent="0.25">
      <c r="A245" s="1">
        <v>40556</v>
      </c>
      <c r="B245" s="2">
        <v>38070.19</v>
      </c>
      <c r="C245" s="2">
        <v>12.116</v>
      </c>
      <c r="D245">
        <f>LN(Table1[[#This Row],[IPC_real]]/B246)</f>
        <v>2.8113941985500883E-3</v>
      </c>
      <c r="E245">
        <f>LN(Table1[[#This Row],[MXNUSD_real]]/C246)</f>
        <v>2.7273871198197253E-3</v>
      </c>
      <c r="N245" s="4">
        <v>0.88665863626188057</v>
      </c>
    </row>
    <row r="246" spans="1:14" x14ac:dyDescent="0.25">
      <c r="A246" s="1">
        <v>40555</v>
      </c>
      <c r="B246" s="2">
        <v>37963.31</v>
      </c>
      <c r="C246" s="2">
        <v>12.083</v>
      </c>
      <c r="D246">
        <f>LN(Table1[[#This Row],[IPC_real]]/B247)</f>
        <v>-1.7238633747961544E-3</v>
      </c>
      <c r="E246">
        <f>LN(Table1[[#This Row],[MXNUSD_real]]/C247)</f>
        <v>-8.6523550782914554E-3</v>
      </c>
      <c r="N246" s="4">
        <v>0.88805479803441767</v>
      </c>
    </row>
    <row r="247" spans="1:14" x14ac:dyDescent="0.25">
      <c r="A247" s="1">
        <v>40554</v>
      </c>
      <c r="B247" s="2">
        <v>38028.81</v>
      </c>
      <c r="C247" s="2">
        <v>12.188000000000001</v>
      </c>
      <c r="D247">
        <f>LN(Table1[[#This Row],[IPC_real]]/B248)</f>
        <v>-9.1445174294408332E-3</v>
      </c>
      <c r="E247">
        <f>LN(Table1[[#This Row],[MXNUSD_real]]/C248)</f>
        <v>-3.726229154348283E-3</v>
      </c>
      <c r="N247" s="4">
        <v>0.88581153855476269</v>
      </c>
    </row>
    <row r="248" spans="1:14" x14ac:dyDescent="0.25">
      <c r="A248" s="1">
        <v>40553</v>
      </c>
      <c r="B248" s="2">
        <v>38378.160000000003</v>
      </c>
      <c r="C248" s="2">
        <v>12.233499999999999</v>
      </c>
      <c r="D248">
        <f>LN(Table1[[#This Row],[IPC_real]]/B249)</f>
        <v>-5.7860082212923269E-3</v>
      </c>
      <c r="E248">
        <f>LN(Table1[[#This Row],[MXNUSD_real]]/C249)</f>
        <v>-1.2662107277375467E-3</v>
      </c>
      <c r="N248" s="4">
        <v>0.88663996641231668</v>
      </c>
    </row>
    <row r="249" spans="1:14" x14ac:dyDescent="0.25">
      <c r="A249" s="1">
        <v>40550</v>
      </c>
      <c r="B249" s="2">
        <v>38600.86</v>
      </c>
      <c r="C249" s="2">
        <v>12.249000000000001</v>
      </c>
      <c r="D249">
        <f>LN(Table1[[#This Row],[IPC_real]]/B250)</f>
        <v>2.8993194057314378E-4</v>
      </c>
      <c r="E249">
        <f>LN(Table1[[#This Row],[MXNUSD_real]]/C250)</f>
        <v>1.5523513064673684E-3</v>
      </c>
      <c r="N249" s="4">
        <v>0.88805750336966072</v>
      </c>
    </row>
    <row r="250" spans="1:14" x14ac:dyDescent="0.25">
      <c r="A250" s="1">
        <v>40549</v>
      </c>
      <c r="B250" s="2">
        <v>38589.67</v>
      </c>
      <c r="C250" s="2">
        <v>12.23</v>
      </c>
      <c r="D250">
        <f>LN(Table1[[#This Row],[IPC_real]]/B251)</f>
        <v>-2.7578136181223042E-3</v>
      </c>
      <c r="E250">
        <f>LN(Table1[[#This Row],[MXNUSD_real]]/C251)</f>
        <v>6.5434322635721752E-4</v>
      </c>
      <c r="N250" s="4">
        <v>0.88974407044948001</v>
      </c>
    </row>
    <row r="251" spans="1:14" x14ac:dyDescent="0.25">
      <c r="A251" s="1">
        <v>40548</v>
      </c>
      <c r="B251" s="2">
        <v>38696.239999999998</v>
      </c>
      <c r="C251" s="2">
        <v>12.222</v>
      </c>
      <c r="D251">
        <f>LN(Table1[[#This Row],[IPC_real]]/B252)</f>
        <v>3.989730610329166E-3</v>
      </c>
      <c r="E251">
        <f>LN(Table1[[#This Row],[MXNUSD_real]]/C252)</f>
        <v>-7.7698492877784889E-4</v>
      </c>
      <c r="N251" s="4">
        <v>0.88629100888339474</v>
      </c>
    </row>
    <row r="252" spans="1:14" x14ac:dyDescent="0.25">
      <c r="A252" s="1">
        <v>40547</v>
      </c>
      <c r="B252" s="2">
        <v>38542.160000000003</v>
      </c>
      <c r="C252" s="2">
        <v>12.2315</v>
      </c>
      <c r="D252">
        <f>LN(Table1[[#This Row],[IPC_real]]/B253)</f>
        <v>-1.6498171678194127E-3</v>
      </c>
      <c r="E252">
        <f>LN(Table1[[#This Row],[MXNUSD_real]]/C253)</f>
        <v>-1.2255904794172881E-3</v>
      </c>
      <c r="N252" s="4">
        <v>0.89035684570507101</v>
      </c>
    </row>
    <row r="253" spans="1:14" x14ac:dyDescent="0.25">
      <c r="A253" s="1">
        <v>40546</v>
      </c>
      <c r="B253" s="2">
        <v>38605.800000000003</v>
      </c>
      <c r="C253" s="2">
        <v>12.246499999999999</v>
      </c>
      <c r="D253">
        <f>LN(Table1[[#This Row],[IPC_real]]/B254)</f>
        <v>1.4259315846099673E-3</v>
      </c>
      <c r="E253">
        <f>LN(Table1[[#This Row],[MXNUSD_real]]/C254)</f>
        <v>-8.4968495749584826E-3</v>
      </c>
      <c r="N253" s="4">
        <v>0.88869132696950714</v>
      </c>
    </row>
    <row r="254" spans="1:14" x14ac:dyDescent="0.25">
      <c r="A254" s="1">
        <v>40543</v>
      </c>
      <c r="B254" s="2">
        <v>38550.79</v>
      </c>
      <c r="C254" s="2">
        <v>12.351000000000001</v>
      </c>
      <c r="D254">
        <f>LN(Table1[[#This Row],[IPC_real]]/B255)</f>
        <v>8.0123948829434691E-3</v>
      </c>
      <c r="E254">
        <f>LN(Table1[[#This Row],[MXNUSD_real]]/C255)</f>
        <v>-3.5964720639960089E-3</v>
      </c>
      <c r="N254" s="4">
        <v>0.88780610107422475</v>
      </c>
    </row>
    <row r="255" spans="1:14" x14ac:dyDescent="0.25">
      <c r="A255" s="1">
        <v>40542</v>
      </c>
      <c r="B255" s="2">
        <v>38243.14</v>
      </c>
      <c r="C255" s="2">
        <v>12.3955</v>
      </c>
      <c r="D255">
        <f>LN(Table1[[#This Row],[IPC_real]]/B256)</f>
        <v>3.3841859459772137E-4</v>
      </c>
      <c r="E255">
        <f>LN(Table1[[#This Row],[MXNUSD_real]]/C256)</f>
        <v>1.9380633514095823E-3</v>
      </c>
      <c r="N255" s="4">
        <v>0.88674695209515253</v>
      </c>
    </row>
    <row r="256" spans="1:14" x14ac:dyDescent="0.25">
      <c r="A256" s="1">
        <v>40541</v>
      </c>
      <c r="B256" s="2">
        <v>38230.199999999997</v>
      </c>
      <c r="C256" s="2">
        <v>12.371499999999999</v>
      </c>
      <c r="D256">
        <f>LN(Table1[[#This Row],[IPC_real]]/B257)</f>
        <v>2.1652922641331837E-3</v>
      </c>
      <c r="E256">
        <f>LN(Table1[[#This Row],[MXNUSD_real]]/C257)</f>
        <v>-1.453899533196261E-3</v>
      </c>
      <c r="N256" s="4">
        <v>0.88708966434594616</v>
      </c>
    </row>
    <row r="257" spans="1:14" x14ac:dyDescent="0.25">
      <c r="A257" s="1">
        <v>40540</v>
      </c>
      <c r="B257" s="2">
        <v>38147.51</v>
      </c>
      <c r="C257" s="2">
        <v>12.3895</v>
      </c>
      <c r="D257">
        <f>LN(Table1[[#This Row],[IPC_real]]/B258)</f>
        <v>3.8437155200876075E-4</v>
      </c>
      <c r="E257">
        <f>LN(Table1[[#This Row],[MXNUSD_real]]/C258)</f>
        <v>2.0603154317901983E-3</v>
      </c>
      <c r="N257" s="4">
        <v>0.88762572603666745</v>
      </c>
    </row>
    <row r="258" spans="1:14" x14ac:dyDescent="0.25">
      <c r="A258" s="1">
        <v>40539</v>
      </c>
      <c r="B258" s="2">
        <v>38132.85</v>
      </c>
      <c r="C258" s="2">
        <v>12.364000000000001</v>
      </c>
      <c r="D258">
        <f>LN(Table1[[#This Row],[IPC_real]]/B259)</f>
        <v>1.3588071041884418E-3</v>
      </c>
      <c r="E258">
        <f>LN(Table1[[#This Row],[MXNUSD_real]]/C259)</f>
        <v>1.2132732103946721E-4</v>
      </c>
      <c r="N258" s="4">
        <v>0.88779117961359622</v>
      </c>
    </row>
    <row r="259" spans="1:14" x14ac:dyDescent="0.25">
      <c r="A259" s="1">
        <v>40536</v>
      </c>
      <c r="B259" s="2">
        <v>38081.07</v>
      </c>
      <c r="C259" s="2">
        <v>12.362500000000001</v>
      </c>
      <c r="D259">
        <f>LN(Table1[[#This Row],[IPC_real]]/B260)</f>
        <v>-1.3226171794597321E-3</v>
      </c>
      <c r="E259">
        <f>LN(Table1[[#This Row],[MXNUSD_real]]/C260)</f>
        <v>4.0453074985321718E-4</v>
      </c>
      <c r="N259" s="4">
        <v>0.89030641638515817</v>
      </c>
    </row>
    <row r="260" spans="1:14" x14ac:dyDescent="0.25">
      <c r="A260" s="1">
        <v>40535</v>
      </c>
      <c r="B260" s="2">
        <v>38131.47</v>
      </c>
      <c r="C260" s="2">
        <v>12.3575</v>
      </c>
      <c r="D260">
        <f>LN(Table1[[#This Row],[IPC_real]]/B261)</f>
        <v>-1.0861762869751707E-3</v>
      </c>
      <c r="E260">
        <f>LN(Table1[[#This Row],[MXNUSD_real]]/C261)</f>
        <v>3.3233393641613246E-3</v>
      </c>
      <c r="N260" s="4">
        <v>0.8886455355547539</v>
      </c>
    </row>
    <row r="261" spans="1:14" x14ac:dyDescent="0.25">
      <c r="A261" s="1">
        <v>40534</v>
      </c>
      <c r="B261" s="2">
        <v>38172.910000000003</v>
      </c>
      <c r="C261" s="2">
        <v>12.3165</v>
      </c>
      <c r="D261">
        <f>LN(Table1[[#This Row],[IPC_real]]/B262)</f>
        <v>-1.516941143413317E-3</v>
      </c>
      <c r="E261">
        <f>LN(Table1[[#This Row],[MXNUSD_real]]/C262)</f>
        <v>-5.7077087372468275E-3</v>
      </c>
      <c r="N261" s="4">
        <v>0.88659822754601503</v>
      </c>
    </row>
    <row r="262" spans="1:14" x14ac:dyDescent="0.25">
      <c r="A262" s="1">
        <v>40533</v>
      </c>
      <c r="B262" s="2">
        <v>38230.86</v>
      </c>
      <c r="C262" s="2">
        <v>12.387</v>
      </c>
      <c r="D262">
        <f>LN(Table1[[#This Row],[IPC_real]]/B263)</f>
        <v>6.7023545811250472E-3</v>
      </c>
      <c r="E262">
        <f>LN(Table1[[#This Row],[MXNUSD_real]]/C263)</f>
        <v>-2.0806626914481301E-3</v>
      </c>
      <c r="N262" s="4">
        <v>0.88787491760932569</v>
      </c>
    </row>
    <row r="263" spans="1:14" x14ac:dyDescent="0.25">
      <c r="A263" s="1">
        <v>40532</v>
      </c>
      <c r="B263" s="2">
        <v>37975.480000000003</v>
      </c>
      <c r="C263" s="2">
        <v>12.412800000000001</v>
      </c>
      <c r="D263">
        <f>LN(Table1[[#This Row],[IPC_real]]/B264)</f>
        <v>-5.7546897964993961E-4</v>
      </c>
      <c r="E263">
        <f>LN(Table1[[#This Row],[MXNUSD_real]]/C264)</f>
        <v>-9.421314607804248E-4</v>
      </c>
      <c r="N263" s="4">
        <v>0.88655089736778847</v>
      </c>
    </row>
    <row r="264" spans="1:14" x14ac:dyDescent="0.25">
      <c r="A264" s="1">
        <v>40529</v>
      </c>
      <c r="B264" s="2">
        <v>37997.339999999997</v>
      </c>
      <c r="C264" s="2">
        <v>12.4245</v>
      </c>
      <c r="D264">
        <f>LN(Table1[[#This Row],[IPC_real]]/B265)</f>
        <v>4.3381201144027806E-3</v>
      </c>
      <c r="E264">
        <f>LN(Table1[[#This Row],[MXNUSD_real]]/C265)</f>
        <v>1.2073649275155762E-4</v>
      </c>
      <c r="N264" s="4">
        <v>0.88729074713002487</v>
      </c>
    </row>
    <row r="265" spans="1:14" x14ac:dyDescent="0.25">
      <c r="A265" s="1">
        <v>40528</v>
      </c>
      <c r="B265" s="2">
        <v>37832.86</v>
      </c>
      <c r="C265" s="2">
        <v>12.423</v>
      </c>
      <c r="D265">
        <f>LN(Table1[[#This Row],[IPC_real]]/B266)</f>
        <v>4.1401521551795543E-3</v>
      </c>
      <c r="E265">
        <f>LN(Table1[[#This Row],[MXNUSD_real]]/C266)</f>
        <v>-4.4175004570547313E-3</v>
      </c>
      <c r="N265" s="4">
        <v>0.88718412326979501</v>
      </c>
    </row>
    <row r="266" spans="1:14" x14ac:dyDescent="0.25">
      <c r="A266" s="1">
        <v>40527</v>
      </c>
      <c r="B266" s="2">
        <v>37676.550000000003</v>
      </c>
      <c r="C266" s="2">
        <v>12.478</v>
      </c>
      <c r="D266">
        <f>LN(Table1[[#This Row],[IPC_real]]/B267)</f>
        <v>-5.9406673384498794E-3</v>
      </c>
      <c r="E266">
        <f>LN(Table1[[#This Row],[MXNUSD_real]]/C267)</f>
        <v>9.8657856213186599E-3</v>
      </c>
      <c r="N266" s="4">
        <v>0.88605648966464556</v>
      </c>
    </row>
    <row r="267" spans="1:14" x14ac:dyDescent="0.25">
      <c r="A267" s="1">
        <v>40526</v>
      </c>
      <c r="B267" s="2">
        <v>37901.040000000001</v>
      </c>
      <c r="C267" s="2">
        <v>12.355499999999999</v>
      </c>
      <c r="D267">
        <f>LN(Table1[[#This Row],[IPC_real]]/B268)</f>
        <v>1.7679177853475878E-4</v>
      </c>
      <c r="E267">
        <f>LN(Table1[[#This Row],[MXNUSD_real]]/C268)</f>
        <v>-2.304008780095262E-3</v>
      </c>
      <c r="N267" s="4">
        <v>0.88937826005935261</v>
      </c>
    </row>
    <row r="268" spans="1:14" x14ac:dyDescent="0.25">
      <c r="A268" s="1">
        <v>40525</v>
      </c>
      <c r="B268" s="2">
        <v>37894.339999999997</v>
      </c>
      <c r="C268" s="2">
        <v>12.384</v>
      </c>
      <c r="D268">
        <f>LN(Table1[[#This Row],[IPC_real]]/B269)</f>
        <v>5.7312297915804193E-3</v>
      </c>
      <c r="E268">
        <f>LN(Table1[[#This Row],[MXNUSD_real]]/C269)</f>
        <v>-7.1209039056840976E-3</v>
      </c>
      <c r="N268" s="4">
        <v>0.88810318641863983</v>
      </c>
    </row>
    <row r="269" spans="1:14" x14ac:dyDescent="0.25">
      <c r="A269" s="1">
        <v>40522</v>
      </c>
      <c r="B269" s="2">
        <v>37677.78</v>
      </c>
      <c r="C269" s="2">
        <v>12.4725</v>
      </c>
      <c r="D269">
        <f>LN(Table1[[#This Row],[IPC_real]]/B270)</f>
        <v>2.9341439243862409E-3</v>
      </c>
      <c r="E269">
        <f>LN(Table1[[#This Row],[MXNUSD_real]]/C270)</f>
        <v>6.0150377753410967E-4</v>
      </c>
      <c r="N269" s="4">
        <v>0.88768677641367488</v>
      </c>
    </row>
    <row r="270" spans="1:14" x14ac:dyDescent="0.25">
      <c r="A270" s="1">
        <v>40521</v>
      </c>
      <c r="B270" s="2">
        <v>37567.39</v>
      </c>
      <c r="C270" s="2">
        <v>12.465</v>
      </c>
      <c r="D270">
        <f>LN(Table1[[#This Row],[IPC_real]]/B271)</f>
        <v>-1.3401582849675332E-3</v>
      </c>
      <c r="E270">
        <f>LN(Table1[[#This Row],[MXNUSD_real]]/C271)</f>
        <v>1.8870581553893549E-3</v>
      </c>
      <c r="N270" s="4">
        <v>0.88729096906103</v>
      </c>
    </row>
    <row r="271" spans="1:14" x14ac:dyDescent="0.25">
      <c r="A271" s="1">
        <v>40520</v>
      </c>
      <c r="B271" s="2">
        <v>37617.769999999997</v>
      </c>
      <c r="C271" s="2">
        <v>12.4415</v>
      </c>
      <c r="D271">
        <f>LN(Table1[[#This Row],[IPC_real]]/B272)</f>
        <v>-6.9501550665629639E-3</v>
      </c>
      <c r="E271">
        <f>LN(Table1[[#This Row],[MXNUSD_real]]/C272)</f>
        <v>-1.8870581553893206E-3</v>
      </c>
      <c r="N271" s="4">
        <v>0.88893359893737678</v>
      </c>
    </row>
    <row r="272" spans="1:14" x14ac:dyDescent="0.25">
      <c r="A272" s="1">
        <v>40519</v>
      </c>
      <c r="B272" s="2">
        <v>37880.129999999997</v>
      </c>
      <c r="C272" s="2">
        <v>12.465</v>
      </c>
      <c r="D272">
        <f>LN(Table1[[#This Row],[IPC_real]]/B273)</f>
        <v>3.7822097883261452E-3</v>
      </c>
      <c r="E272">
        <f>LN(Table1[[#This Row],[MXNUSD_real]]/C273)</f>
        <v>6.8424497190711E-3</v>
      </c>
      <c r="N272" s="4">
        <v>0.88333382160502483</v>
      </c>
    </row>
    <row r="273" spans="1:14" x14ac:dyDescent="0.25">
      <c r="A273" s="1">
        <v>40518</v>
      </c>
      <c r="B273" s="2">
        <v>37737.129999999997</v>
      </c>
      <c r="C273" s="2">
        <v>12.38</v>
      </c>
      <c r="D273">
        <f>LN(Table1[[#This Row],[IPC_real]]/B274)</f>
        <v>9.3505949448470828E-3</v>
      </c>
      <c r="E273">
        <f>LN(Table1[[#This Row],[MXNUSD_real]]/C274)</f>
        <v>3.2315398568504483E-4</v>
      </c>
      <c r="N273" s="4">
        <v>0.88818396004048095</v>
      </c>
    </row>
    <row r="274" spans="1:14" x14ac:dyDescent="0.25">
      <c r="A274" s="1">
        <v>40515</v>
      </c>
      <c r="B274" s="2">
        <v>37385.910000000003</v>
      </c>
      <c r="C274" s="2">
        <v>12.375999999999999</v>
      </c>
      <c r="D274">
        <f>LN(Table1[[#This Row],[IPC_real]]/B275)</f>
        <v>-3.6263772808530452E-4</v>
      </c>
      <c r="E274">
        <f>LN(Table1[[#This Row],[MXNUSD_real]]/C275)</f>
        <v>3.9265741546207836E-3</v>
      </c>
      <c r="N274" s="4">
        <v>0.88985415718096761</v>
      </c>
    </row>
    <row r="275" spans="1:14" x14ac:dyDescent="0.25">
      <c r="A275" s="1">
        <v>40514</v>
      </c>
      <c r="B275" s="2">
        <v>37399.47</v>
      </c>
      <c r="C275" s="2">
        <v>12.327500000000001</v>
      </c>
      <c r="D275">
        <f>LN(Table1[[#This Row],[IPC_real]]/B276)</f>
        <v>3.2649961654535424E-3</v>
      </c>
      <c r="E275">
        <f>LN(Table1[[#This Row],[MXNUSD_real]]/C276)</f>
        <v>-5.7832850815607833E-3</v>
      </c>
      <c r="N275" s="4">
        <v>0.88710967577424582</v>
      </c>
    </row>
    <row r="276" spans="1:14" x14ac:dyDescent="0.25">
      <c r="A276" s="1">
        <v>40513</v>
      </c>
      <c r="B276" s="2">
        <v>37277.56</v>
      </c>
      <c r="C276" s="2">
        <v>12.398999999999999</v>
      </c>
      <c r="D276">
        <f>LN(Table1[[#This Row],[IPC_real]]/B277)</f>
        <v>1.2423150404823211E-2</v>
      </c>
      <c r="E276">
        <f>LN(Table1[[#This Row],[MXNUSD_real]]/C277)</f>
        <v>-4.9879427630255841E-3</v>
      </c>
      <c r="N276" s="4">
        <v>0.88661794702631258</v>
      </c>
    </row>
    <row r="277" spans="1:14" x14ac:dyDescent="0.25">
      <c r="A277" s="1">
        <v>40512</v>
      </c>
      <c r="B277" s="2">
        <v>36817.32</v>
      </c>
      <c r="C277" s="2">
        <v>12.461</v>
      </c>
      <c r="D277">
        <f>LN(Table1[[#This Row],[IPC_real]]/B278)</f>
        <v>-1.9886604915851634E-3</v>
      </c>
      <c r="E277">
        <f>LN(Table1[[#This Row],[MXNUSD_real]]/C278)</f>
        <v>-3.9245575180892568E-3</v>
      </c>
      <c r="N277" s="4">
        <v>0.88803292697918312</v>
      </c>
    </row>
    <row r="278" spans="1:14" x14ac:dyDescent="0.25">
      <c r="A278" s="1">
        <v>40511</v>
      </c>
      <c r="B278" s="2">
        <v>36890.61</v>
      </c>
      <c r="C278" s="2">
        <v>12.51</v>
      </c>
      <c r="D278">
        <f>LN(Table1[[#This Row],[IPC_real]]/B279)</f>
        <v>-3.7726062082394621E-4</v>
      </c>
      <c r="E278">
        <f>LN(Table1[[#This Row],[MXNUSD_real]]/C279)</f>
        <v>2.0404496066971441E-3</v>
      </c>
      <c r="N278" s="4">
        <v>0.8846260965369257</v>
      </c>
    </row>
    <row r="279" spans="1:14" x14ac:dyDescent="0.25">
      <c r="A279" s="1">
        <v>40508</v>
      </c>
      <c r="B279" s="2">
        <v>36904.53</v>
      </c>
      <c r="C279" s="2">
        <v>12.484500000000001</v>
      </c>
      <c r="D279">
        <f>LN(Table1[[#This Row],[IPC_real]]/B280)</f>
        <v>-1.7508258083056671E-3</v>
      </c>
      <c r="E279">
        <f>LN(Table1[[#This Row],[MXNUSD_real]]/C280)</f>
        <v>7.1705063700785616E-3</v>
      </c>
      <c r="N279" s="4">
        <v>0.88721481107824207</v>
      </c>
    </row>
    <row r="280" spans="1:14" x14ac:dyDescent="0.25">
      <c r="A280" s="1">
        <v>40507</v>
      </c>
      <c r="B280" s="2">
        <v>36969.199999999997</v>
      </c>
      <c r="C280" s="2">
        <v>12.395300000000001</v>
      </c>
      <c r="D280">
        <f>LN(Table1[[#This Row],[IPC_real]]/B281)</f>
        <v>-2.9731894858864016E-3</v>
      </c>
      <c r="E280">
        <f>LN(Table1[[#This Row],[MXNUSD_real]]/C281)</f>
        <v>2.0431820976473821E-3</v>
      </c>
      <c r="N280" s="4">
        <v>0.88581684630807822</v>
      </c>
    </row>
    <row r="281" spans="1:14" x14ac:dyDescent="0.25">
      <c r="A281" s="1">
        <v>40506</v>
      </c>
      <c r="B281" s="2">
        <v>37079.279999999999</v>
      </c>
      <c r="C281" s="2">
        <v>12.37</v>
      </c>
      <c r="D281">
        <f>LN(Table1[[#This Row],[IPC_real]]/B282)</f>
        <v>2.201691608997771E-2</v>
      </c>
      <c r="E281">
        <f>LN(Table1[[#This Row],[MXNUSD_real]]/C282)</f>
        <v>-8.2921217391756126E-3</v>
      </c>
      <c r="N281" s="4">
        <v>0.88940400468862268</v>
      </c>
    </row>
    <row r="282" spans="1:14" x14ac:dyDescent="0.25">
      <c r="A282" s="1">
        <v>40505</v>
      </c>
      <c r="B282" s="2">
        <v>36271.83</v>
      </c>
      <c r="C282" s="2">
        <v>12.473000000000001</v>
      </c>
      <c r="D282">
        <f>LN(Table1[[#This Row],[IPC_real]]/B283)</f>
        <v>-1.2020321132408711E-2</v>
      </c>
      <c r="E282">
        <f>LN(Table1[[#This Row],[MXNUSD_real]]/C283)</f>
        <v>1.2261184501040931E-2</v>
      </c>
      <c r="N282" s="4">
        <v>0.88913140225773224</v>
      </c>
    </row>
    <row r="283" spans="1:14" x14ac:dyDescent="0.25">
      <c r="A283" s="1">
        <v>40504</v>
      </c>
      <c r="B283" s="2">
        <v>36710.46</v>
      </c>
      <c r="C283" s="2">
        <v>12.321</v>
      </c>
      <c r="D283">
        <f>LN(Table1[[#This Row],[IPC_real]]/B284)</f>
        <v>2.9752370339597568E-3</v>
      </c>
      <c r="E283">
        <f>LN(Table1[[#This Row],[MXNUSD_real]]/C284)</f>
        <v>3.6834251113162389E-3</v>
      </c>
      <c r="N283" s="4">
        <v>0.88876112460512313</v>
      </c>
    </row>
    <row r="284" spans="1:14" x14ac:dyDescent="0.25">
      <c r="A284" s="1">
        <v>40501</v>
      </c>
      <c r="B284" s="2">
        <v>36601.4</v>
      </c>
      <c r="C284" s="2">
        <v>12.275700000000001</v>
      </c>
      <c r="D284">
        <f>LN(Table1[[#This Row],[IPC_real]]/B285)</f>
        <v>7.6595689681951823E-3</v>
      </c>
      <c r="E284">
        <f>LN(Table1[[#This Row],[MXNUSD_real]]/C285)</f>
        <v>-1.0014778741013438E-3</v>
      </c>
      <c r="N284" s="4">
        <v>0.88655859475442322</v>
      </c>
    </row>
    <row r="285" spans="1:14" x14ac:dyDescent="0.25">
      <c r="A285" s="1">
        <v>40500</v>
      </c>
      <c r="B285" s="2">
        <v>36322.120000000003</v>
      </c>
      <c r="C285" s="2">
        <v>12.288</v>
      </c>
      <c r="D285">
        <f>LN(Table1[[#This Row],[IPC_real]]/B286)</f>
        <v>1.3293139932341939E-2</v>
      </c>
      <c r="E285">
        <f>LN(Table1[[#This Row],[MXNUSD_real]]/C286)</f>
        <v>-6.0849646194736252E-3</v>
      </c>
      <c r="N285" s="4">
        <v>0.88448873693258345</v>
      </c>
    </row>
    <row r="286" spans="1:14" x14ac:dyDescent="0.25">
      <c r="A286" s="1">
        <v>40499</v>
      </c>
      <c r="B286" s="2">
        <v>35842.480000000003</v>
      </c>
      <c r="C286" s="2">
        <v>12.363</v>
      </c>
      <c r="D286">
        <f>LN(Table1[[#This Row],[IPC_real]]/B287)</f>
        <v>5.4348469202988329E-3</v>
      </c>
      <c r="E286">
        <f>LN(Table1[[#This Row],[MXNUSD_real]]/C287)</f>
        <v>-5.5656526005016952E-3</v>
      </c>
      <c r="N286" s="4">
        <v>0.88655753614426713</v>
      </c>
    </row>
    <row r="287" spans="1:14" x14ac:dyDescent="0.25">
      <c r="A287" s="1">
        <v>40498</v>
      </c>
      <c r="B287" s="2">
        <v>35648.21</v>
      </c>
      <c r="C287" s="2">
        <v>12.432</v>
      </c>
      <c r="D287">
        <f>LN(Table1[[#This Row],[IPC_real]]/B288)</f>
        <v>-1.1412900566897912E-2</v>
      </c>
      <c r="E287">
        <f>LN(Table1[[#This Row],[MXNUSD_real]]/C288)</f>
        <v>8.0762836013876134E-3</v>
      </c>
      <c r="N287" s="4">
        <v>0.89023981344775482</v>
      </c>
    </row>
    <row r="288" spans="1:14" x14ac:dyDescent="0.25">
      <c r="A288" s="1">
        <v>40494</v>
      </c>
      <c r="B288" s="2">
        <v>36057.39</v>
      </c>
      <c r="C288" s="2">
        <v>12.332000000000001</v>
      </c>
      <c r="D288">
        <f>LN(Table1[[#This Row],[IPC_real]]/B289)</f>
        <v>-6.8309665329314749E-3</v>
      </c>
      <c r="E288">
        <f>LN(Table1[[#This Row],[MXNUSD_real]]/C289)</f>
        <v>6.1003076648758576E-3</v>
      </c>
      <c r="N288" s="4">
        <v>0.88226734289984021</v>
      </c>
    </row>
    <row r="289" spans="1:14" x14ac:dyDescent="0.25">
      <c r="A289" s="1">
        <v>40493</v>
      </c>
      <c r="B289" s="2">
        <v>36304.54</v>
      </c>
      <c r="C289" s="2">
        <v>12.257</v>
      </c>
      <c r="D289">
        <f>LN(Table1[[#This Row],[IPC_real]]/B290)</f>
        <v>-3.105802239980816E-3</v>
      </c>
      <c r="E289">
        <f>LN(Table1[[#This Row],[MXNUSD_real]]/C290)</f>
        <v>2.2052526599470501E-3</v>
      </c>
      <c r="N289" s="4">
        <v>0.88591371462956092</v>
      </c>
    </row>
    <row r="290" spans="1:14" x14ac:dyDescent="0.25">
      <c r="A290" s="1">
        <v>40492</v>
      </c>
      <c r="B290" s="2">
        <v>36417.47</v>
      </c>
      <c r="C290" s="2">
        <v>12.23</v>
      </c>
      <c r="D290">
        <f>LN(Table1[[#This Row],[IPC_real]]/B291)</f>
        <v>6.0439070994436185E-3</v>
      </c>
      <c r="E290">
        <f>LN(Table1[[#This Row],[MXNUSD_real]]/C291)</f>
        <v>-1.9604646043818088E-3</v>
      </c>
      <c r="N290" s="4">
        <v>0.88770867496074002</v>
      </c>
    </row>
    <row r="291" spans="1:14" x14ac:dyDescent="0.25">
      <c r="A291" s="1">
        <v>40491</v>
      </c>
      <c r="B291" s="2">
        <v>36198.03</v>
      </c>
      <c r="C291" s="2">
        <v>12.254</v>
      </c>
      <c r="D291">
        <f>LN(Table1[[#This Row],[IPC_real]]/B292)</f>
        <v>-9.4956242261668902E-3</v>
      </c>
      <c r="E291">
        <f>LN(Table1[[#This Row],[MXNUSD_real]]/C292)</f>
        <v>1.837822901961157E-3</v>
      </c>
      <c r="N291" s="4">
        <v>0.88950643810867103</v>
      </c>
    </row>
    <row r="292" spans="1:14" x14ac:dyDescent="0.25">
      <c r="A292" s="1">
        <v>40490</v>
      </c>
      <c r="B292" s="2">
        <v>36543.39</v>
      </c>
      <c r="C292" s="2">
        <v>12.2315</v>
      </c>
      <c r="D292">
        <f>LN(Table1[[#This Row],[IPC_real]]/B293)</f>
        <v>6.2003275733604419E-3</v>
      </c>
      <c r="E292">
        <f>LN(Table1[[#This Row],[MXNUSD_real]]/C293)</f>
        <v>2.332768251799071E-3</v>
      </c>
      <c r="N292" s="4">
        <v>0.88932977921453638</v>
      </c>
    </row>
    <row r="293" spans="1:14" x14ac:dyDescent="0.25">
      <c r="A293" s="1">
        <v>40487</v>
      </c>
      <c r="B293" s="2">
        <v>36317.51</v>
      </c>
      <c r="C293" s="2">
        <v>12.202999999999999</v>
      </c>
      <c r="D293">
        <f>LN(Table1[[#This Row],[IPC_real]]/B294)</f>
        <v>3.279550063496642E-3</v>
      </c>
      <c r="E293">
        <f>LN(Table1[[#This Row],[MXNUSD_real]]/C294)</f>
        <v>-2.08746980412599E-3</v>
      </c>
      <c r="N293" s="4">
        <v>0.88410588058416595</v>
      </c>
    </row>
    <row r="294" spans="1:14" x14ac:dyDescent="0.25">
      <c r="A294" s="1">
        <v>40486</v>
      </c>
      <c r="B294" s="2">
        <v>36198.6</v>
      </c>
      <c r="C294" s="2">
        <v>12.2285</v>
      </c>
      <c r="D294">
        <f>LN(Table1[[#This Row],[IPC_real]]/B295)</f>
        <v>9.8495557904768674E-3</v>
      </c>
      <c r="E294">
        <f>LN(Table1[[#This Row],[MXNUSD_real]]/C295)</f>
        <v>-2.4910681590288026E-3</v>
      </c>
      <c r="N294" s="4">
        <v>0.88493429070446472</v>
      </c>
    </row>
    <row r="295" spans="1:14" x14ac:dyDescent="0.25">
      <c r="A295" s="1">
        <v>40485</v>
      </c>
      <c r="B295" s="2">
        <v>35843.81</v>
      </c>
      <c r="C295" s="2">
        <v>12.259</v>
      </c>
      <c r="D295">
        <f>LN(Table1[[#This Row],[IPC_real]]/B296)</f>
        <v>3.3842672686197929E-3</v>
      </c>
      <c r="E295">
        <f>LN(Table1[[#This Row],[MXNUSD_real]]/C296)</f>
        <v>-7.3147270228281231E-3</v>
      </c>
      <c r="N295" s="4">
        <v>0.88649466484877559</v>
      </c>
    </row>
    <row r="296" spans="1:14" x14ac:dyDescent="0.25">
      <c r="A296" s="1">
        <v>40483</v>
      </c>
      <c r="B296" s="2">
        <v>35722.71</v>
      </c>
      <c r="C296" s="2">
        <v>12.349</v>
      </c>
      <c r="D296">
        <f>LN(Table1[[#This Row],[IPC_real]]/B297)</f>
        <v>4.3340784537755179E-3</v>
      </c>
      <c r="E296">
        <f>LN(Table1[[#This Row],[MXNUSD_real]]/C297)</f>
        <v>-1.4565466242346884E-3</v>
      </c>
      <c r="N296" s="4">
        <v>0.88805959277811031</v>
      </c>
    </row>
    <row r="297" spans="1:14" x14ac:dyDescent="0.25">
      <c r="A297" s="1">
        <v>40480</v>
      </c>
      <c r="B297" s="2">
        <v>35568.22</v>
      </c>
      <c r="C297" s="2">
        <v>12.367000000000001</v>
      </c>
      <c r="D297">
        <f>LN(Table1[[#This Row],[IPC_real]]/B298)</f>
        <v>5.3985658483221982E-3</v>
      </c>
      <c r="E297">
        <f>LN(Table1[[#This Row],[MXNUSD_real]]/C298)</f>
        <v>-2.6648378510710793E-3</v>
      </c>
      <c r="N297" s="4">
        <v>0.8866369669782731</v>
      </c>
    </row>
    <row r="298" spans="1:14" x14ac:dyDescent="0.25">
      <c r="A298" s="1">
        <v>40479</v>
      </c>
      <c r="B298" s="2">
        <v>35376.720000000001</v>
      </c>
      <c r="C298" s="2">
        <v>12.4</v>
      </c>
      <c r="D298">
        <f>LN(Table1[[#This Row],[IPC_real]]/B299)</f>
        <v>3.2225569305299848E-3</v>
      </c>
      <c r="E298">
        <f>LN(Table1[[#This Row],[MXNUSD_real]]/C299)</f>
        <v>-6.6712460579227946E-3</v>
      </c>
      <c r="N298" s="4">
        <v>0.88644508402489908</v>
      </c>
    </row>
    <row r="299" spans="1:14" x14ac:dyDescent="0.25">
      <c r="A299" s="1">
        <v>40478</v>
      </c>
      <c r="B299" s="2">
        <v>35262.9</v>
      </c>
      <c r="C299" s="2">
        <v>12.483000000000001</v>
      </c>
      <c r="D299">
        <f>LN(Table1[[#This Row],[IPC_real]]/B300)</f>
        <v>-3.1284228011990941E-3</v>
      </c>
      <c r="E299">
        <f>LN(Table1[[#This Row],[MXNUSD_real]]/C300)</f>
        <v>6.0262927946763967E-3</v>
      </c>
      <c r="N299" s="4">
        <v>0.88810565264167785</v>
      </c>
    </row>
    <row r="300" spans="1:14" x14ac:dyDescent="0.25">
      <c r="A300" s="1">
        <v>40477</v>
      </c>
      <c r="B300" s="2">
        <v>35373.39</v>
      </c>
      <c r="C300" s="2">
        <v>12.407999999999999</v>
      </c>
      <c r="D300">
        <f>LN(Table1[[#This Row],[IPC_real]]/B301)</f>
        <v>3.1287063854029385E-3</v>
      </c>
      <c r="E300">
        <f>LN(Table1[[#This Row],[MXNUSD_real]]/C301)</f>
        <v>6.2250089858442333E-3</v>
      </c>
      <c r="N300" s="4">
        <v>0.8882513807612733</v>
      </c>
    </row>
    <row r="301" spans="1:14" x14ac:dyDescent="0.25">
      <c r="A301" s="1">
        <v>40476</v>
      </c>
      <c r="B301" s="2">
        <v>35262.89</v>
      </c>
      <c r="C301" s="2">
        <v>12.331</v>
      </c>
      <c r="D301">
        <f>LN(Table1[[#This Row],[IPC_real]]/B302)</f>
        <v>4.0353107741843957E-3</v>
      </c>
      <c r="E301">
        <f>LN(Table1[[#This Row],[MXNUSD_real]]/C302)</f>
        <v>-3.1577695160031282E-3</v>
      </c>
      <c r="N301" s="4">
        <v>0.889918524713878</v>
      </c>
    </row>
    <row r="302" spans="1:14" x14ac:dyDescent="0.25">
      <c r="A302" s="1">
        <v>40473</v>
      </c>
      <c r="B302" s="2">
        <v>35120.879999999997</v>
      </c>
      <c r="C302" s="2">
        <v>12.37</v>
      </c>
      <c r="D302">
        <f>LN(Table1[[#This Row],[IPC_real]]/B303)</f>
        <v>4.4411142631850574E-3</v>
      </c>
      <c r="E302">
        <f>LN(Table1[[#This Row],[MXNUSD_real]]/C303)</f>
        <v>-3.5506815870644561E-3</v>
      </c>
      <c r="N302" s="4">
        <v>0.88787588665364481</v>
      </c>
    </row>
    <row r="303" spans="1:14" x14ac:dyDescent="0.25">
      <c r="A303" s="1">
        <v>40472</v>
      </c>
      <c r="B303" s="2">
        <v>34965.25</v>
      </c>
      <c r="C303" s="2">
        <v>12.414</v>
      </c>
      <c r="D303">
        <f>LN(Table1[[#This Row],[IPC_real]]/B304)</f>
        <v>2.4276374167817162E-3</v>
      </c>
      <c r="E303">
        <f>LN(Table1[[#This Row],[MXNUSD_real]]/C304)</f>
        <v>7.252508476966648E-4</v>
      </c>
      <c r="N303" s="4">
        <v>0.88831382419664595</v>
      </c>
    </row>
    <row r="304" spans="1:14" x14ac:dyDescent="0.25">
      <c r="A304" s="1">
        <v>40471</v>
      </c>
      <c r="B304" s="2">
        <v>34880.47</v>
      </c>
      <c r="C304" s="2">
        <v>12.404999999999999</v>
      </c>
      <c r="D304">
        <f>LN(Table1[[#This Row],[IPC_real]]/B305)</f>
        <v>1.2353927375157146E-2</v>
      </c>
      <c r="E304">
        <f>LN(Table1[[#This Row],[MXNUSD_real]]/C305)</f>
        <v>-1.0584654990123808E-2</v>
      </c>
      <c r="N304" s="4">
        <v>0.88970399156361035</v>
      </c>
    </row>
    <row r="305" spans="1:14" x14ac:dyDescent="0.25">
      <c r="A305" s="1">
        <v>40470</v>
      </c>
      <c r="B305" s="2">
        <v>34452.21</v>
      </c>
      <c r="C305" s="2">
        <v>12.537000000000001</v>
      </c>
      <c r="D305">
        <f>LN(Table1[[#This Row],[IPC_real]]/B306)</f>
        <v>-1.3466824980529014E-2</v>
      </c>
      <c r="E305">
        <f>LN(Table1[[#This Row],[MXNUSD_real]]/C306)</f>
        <v>1.2925158863123207E-2</v>
      </c>
      <c r="N305" s="4">
        <v>0.88496483429281914</v>
      </c>
    </row>
    <row r="306" spans="1:14" x14ac:dyDescent="0.25">
      <c r="A306" s="1">
        <v>40469</v>
      </c>
      <c r="B306" s="2">
        <v>34919.31</v>
      </c>
      <c r="C306" s="2">
        <v>12.375999999999999</v>
      </c>
      <c r="D306">
        <f>LN(Table1[[#This Row],[IPC_real]]/B307)</f>
        <v>5.1038821921679366E-3</v>
      </c>
      <c r="E306">
        <f>LN(Table1[[#This Row],[MXNUSD_real]]/C307)</f>
        <v>-4.8765839714811406E-3</v>
      </c>
      <c r="N306" s="4">
        <v>0.88488275136325467</v>
      </c>
    </row>
    <row r="307" spans="1:14" x14ac:dyDescent="0.25">
      <c r="A307" s="1">
        <v>40466</v>
      </c>
      <c r="B307" s="2">
        <v>34741.54</v>
      </c>
      <c r="C307" s="2">
        <v>12.436500000000001</v>
      </c>
      <c r="D307">
        <f>LN(Table1[[#This Row],[IPC_real]]/B308)</f>
        <v>-2.7295985618431247E-3</v>
      </c>
      <c r="E307">
        <f>LN(Table1[[#This Row],[MXNUSD_real]]/C308)</f>
        <v>-1.2455553371156503E-3</v>
      </c>
      <c r="N307" s="4">
        <v>0.88848997721529088</v>
      </c>
    </row>
    <row r="308" spans="1:14" x14ac:dyDescent="0.25">
      <c r="A308" s="1">
        <v>40465</v>
      </c>
      <c r="B308" s="2">
        <v>34836.5</v>
      </c>
      <c r="C308" s="2">
        <v>12.452</v>
      </c>
      <c r="D308">
        <f>LN(Table1[[#This Row],[IPC_real]]/B309)</f>
        <v>1.0870947711755727E-3</v>
      </c>
      <c r="E308">
        <f>LN(Table1[[#This Row],[MXNUSD_real]]/C309)</f>
        <v>8.2251895053756501E-3</v>
      </c>
      <c r="N308" s="4">
        <v>0.88862935222540107</v>
      </c>
    </row>
    <row r="309" spans="1:14" x14ac:dyDescent="0.25">
      <c r="A309" s="1">
        <v>40464</v>
      </c>
      <c r="B309" s="2">
        <v>34798.65</v>
      </c>
      <c r="C309" s="2">
        <v>12.35</v>
      </c>
      <c r="D309">
        <f>LN(Table1[[#This Row],[IPC_real]]/B310)</f>
        <v>1.0435700208854202E-2</v>
      </c>
      <c r="E309">
        <f>LN(Table1[[#This Row],[MXNUSD_real]]/C310)</f>
        <v>-5.0882474598246061E-3</v>
      </c>
      <c r="N309" s="4">
        <v>0.88706278327347887</v>
      </c>
    </row>
    <row r="310" spans="1:14" x14ac:dyDescent="0.25">
      <c r="A310" s="1">
        <v>40463</v>
      </c>
      <c r="B310" s="2">
        <v>34437.39</v>
      </c>
      <c r="C310" s="2">
        <v>12.413</v>
      </c>
      <c r="D310">
        <f>LN(Table1[[#This Row],[IPC_real]]/B311)</f>
        <v>-8.133196777076971E-4</v>
      </c>
      <c r="E310">
        <f>LN(Table1[[#This Row],[MXNUSD_real]]/C311)</f>
        <v>-2.4942685015798033E-3</v>
      </c>
      <c r="N310" s="4">
        <v>0.8909719857420394</v>
      </c>
    </row>
    <row r="311" spans="1:14" x14ac:dyDescent="0.25">
      <c r="A311" s="1">
        <v>40462</v>
      </c>
      <c r="B311" s="2">
        <v>34465.410000000003</v>
      </c>
      <c r="C311" s="2">
        <v>12.444000000000001</v>
      </c>
      <c r="D311">
        <f>LN(Table1[[#This Row],[IPC_real]]/B312)</f>
        <v>1.7118759070287787E-5</v>
      </c>
      <c r="E311">
        <f>LN(Table1[[#This Row],[MXNUSD_real]]/C312)</f>
        <v>1.3670542115330967E-3</v>
      </c>
      <c r="N311" s="4">
        <v>0.88196495009600273</v>
      </c>
    </row>
    <row r="312" spans="1:14" x14ac:dyDescent="0.25">
      <c r="A312" s="1">
        <v>40459</v>
      </c>
      <c r="B312" s="2">
        <v>34464.82</v>
      </c>
      <c r="C312" s="2">
        <v>12.427</v>
      </c>
      <c r="D312">
        <f>LN(Table1[[#This Row],[IPC_real]]/B313)</f>
        <v>6.0245257236828101E-3</v>
      </c>
      <c r="E312">
        <f>LN(Table1[[#This Row],[MXNUSD_real]]/C313)</f>
        <v>-1.0366934962226208E-2</v>
      </c>
      <c r="N312" s="4">
        <v>0.88909293838250725</v>
      </c>
    </row>
    <row r="313" spans="1:14" x14ac:dyDescent="0.25">
      <c r="A313" s="1">
        <v>40458</v>
      </c>
      <c r="B313" s="2">
        <v>34257.81</v>
      </c>
      <c r="C313" s="2">
        <v>12.5565</v>
      </c>
      <c r="D313">
        <f>LN(Table1[[#This Row],[IPC_real]]/B314)</f>
        <v>-3.2881436680783616E-3</v>
      </c>
      <c r="E313">
        <f>LN(Table1[[#This Row],[MXNUSD_real]]/C314)</f>
        <v>5.6704887985800168E-3</v>
      </c>
      <c r="N313" s="4">
        <v>0.88779851475716431</v>
      </c>
    </row>
    <row r="314" spans="1:14" x14ac:dyDescent="0.25">
      <c r="A314" s="1">
        <v>40457</v>
      </c>
      <c r="B314" s="2">
        <v>34370.639999999999</v>
      </c>
      <c r="C314" s="2">
        <v>12.4855</v>
      </c>
      <c r="D314">
        <f>LN(Table1[[#This Row],[IPC_real]]/B315)</f>
        <v>3.3001118135456077E-3</v>
      </c>
      <c r="E314">
        <f>LN(Table1[[#This Row],[MXNUSD_real]]/C315)</f>
        <v>-2.802858934444873E-4</v>
      </c>
      <c r="N314" s="4">
        <v>0.88404243272509531</v>
      </c>
    </row>
    <row r="315" spans="1:14" x14ac:dyDescent="0.25">
      <c r="A315" s="1">
        <v>40456</v>
      </c>
      <c r="B315" s="2">
        <v>34257.4</v>
      </c>
      <c r="C315" s="2">
        <v>12.489000000000001</v>
      </c>
      <c r="D315">
        <f>LN(Table1[[#This Row],[IPC_real]]/B316)</f>
        <v>6.3613019478793225E-3</v>
      </c>
      <c r="E315">
        <f>LN(Table1[[#This Row],[MXNUSD_real]]/C316)</f>
        <v>-8.8485570764841367E-3</v>
      </c>
      <c r="N315" s="4">
        <v>0.88916598569099359</v>
      </c>
    </row>
    <row r="316" spans="1:14" x14ac:dyDescent="0.25">
      <c r="A316" s="1">
        <v>40455</v>
      </c>
      <c r="B316" s="2">
        <v>34040.17</v>
      </c>
      <c r="C316" s="2">
        <v>12.6</v>
      </c>
      <c r="D316">
        <f>LN(Table1[[#This Row],[IPC_real]]/B317)</f>
        <v>6.8592180367667132E-3</v>
      </c>
      <c r="E316">
        <f>LN(Table1[[#This Row],[MXNUSD_real]]/C317)</f>
        <v>3.1796529173795844E-3</v>
      </c>
      <c r="N316" s="4">
        <v>0.88825253242183233</v>
      </c>
    </row>
    <row r="317" spans="1:14" x14ac:dyDescent="0.25">
      <c r="A317" s="1">
        <v>40452</v>
      </c>
      <c r="B317" s="2">
        <v>33807.480000000003</v>
      </c>
      <c r="C317" s="2">
        <v>12.56</v>
      </c>
      <c r="D317">
        <f>LN(Table1[[#This Row],[IPC_real]]/B318)</f>
        <v>1.4213986492775282E-2</v>
      </c>
      <c r="E317">
        <f>LN(Table1[[#This Row],[MXNUSD_real]]/C318)</f>
        <v>-4.8449322364408701E-3</v>
      </c>
      <c r="N317" s="4">
        <v>0.88681807374770805</v>
      </c>
    </row>
    <row r="318" spans="1:14" x14ac:dyDescent="0.25">
      <c r="A318" s="1">
        <v>40451</v>
      </c>
      <c r="B318" s="2">
        <v>33330.339999999997</v>
      </c>
      <c r="C318" s="2">
        <v>12.621</v>
      </c>
      <c r="D318">
        <f>LN(Table1[[#This Row],[IPC_real]]/B319)</f>
        <v>4.3170920859456835E-3</v>
      </c>
      <c r="E318">
        <f>LN(Table1[[#This Row],[MXNUSD_real]]/C319)</f>
        <v>8.0347276045410702E-3</v>
      </c>
      <c r="N318" s="4">
        <v>0.89090373420045788</v>
      </c>
    </row>
    <row r="319" spans="1:14" x14ac:dyDescent="0.25">
      <c r="A319" s="1">
        <v>40450</v>
      </c>
      <c r="B319" s="2">
        <v>33186.76</v>
      </c>
      <c r="C319" s="2">
        <v>12.52</v>
      </c>
      <c r="D319">
        <f>LN(Table1[[#This Row],[IPC_real]]/B320)</f>
        <v>-2.160274352365921E-3</v>
      </c>
      <c r="E319">
        <f>LN(Table1[[#This Row],[MXNUSD_real]]/C320)</f>
        <v>1.3587501590898944E-3</v>
      </c>
      <c r="N319" s="4">
        <v>0.88511117608368417</v>
      </c>
    </row>
    <row r="320" spans="1:14" x14ac:dyDescent="0.25">
      <c r="A320" s="1">
        <v>40449</v>
      </c>
      <c r="B320" s="2">
        <v>33258.53</v>
      </c>
      <c r="C320" s="2">
        <v>12.503</v>
      </c>
      <c r="D320">
        <f>LN(Table1[[#This Row],[IPC_real]]/B321)</f>
        <v>4.1002772531084815E-3</v>
      </c>
      <c r="E320">
        <f>LN(Table1[[#This Row],[MXNUSD_real]]/C321)</f>
        <v>-2.1332105705781199E-3</v>
      </c>
      <c r="N320" s="4">
        <v>0.88744111368667278</v>
      </c>
    </row>
    <row r="321" spans="1:14" x14ac:dyDescent="0.25">
      <c r="A321" s="1">
        <v>40448</v>
      </c>
      <c r="B321" s="2">
        <v>33122.44</v>
      </c>
      <c r="C321" s="2">
        <v>12.5297</v>
      </c>
      <c r="D321">
        <f>LN(Table1[[#This Row],[IPC_real]]/B322)</f>
        <v>-4.7681534557349825E-3</v>
      </c>
      <c r="E321">
        <f>LN(Table1[[#This Row],[MXNUSD_real]]/C322)</f>
        <v>-1.8578547526306732E-3</v>
      </c>
      <c r="N321" s="4">
        <v>0.89042027527479983</v>
      </c>
    </row>
    <row r="322" spans="1:14" x14ac:dyDescent="0.25">
      <c r="A322" s="1">
        <v>40445</v>
      </c>
      <c r="B322" s="2">
        <v>33280.75</v>
      </c>
      <c r="C322" s="2">
        <v>12.553000000000001</v>
      </c>
      <c r="D322">
        <f>LN(Table1[[#This Row],[IPC_real]]/B323)</f>
        <v>5.7138811165044611E-3</v>
      </c>
      <c r="E322">
        <f>LN(Table1[[#This Row],[MXNUSD_real]]/C323)</f>
        <v>-5.1646851125463902E-3</v>
      </c>
      <c r="N322" s="4">
        <v>0.88611323565853517</v>
      </c>
    </row>
    <row r="323" spans="1:14" x14ac:dyDescent="0.25">
      <c r="A323" s="1">
        <v>40444</v>
      </c>
      <c r="B323" s="2">
        <v>33091.129999999997</v>
      </c>
      <c r="C323" s="2">
        <v>12.618</v>
      </c>
      <c r="D323">
        <f>LN(Table1[[#This Row],[IPC_real]]/B324)</f>
        <v>-3.5017503791758223E-3</v>
      </c>
      <c r="E323">
        <f>LN(Table1[[#This Row],[MXNUSD_real]]/C324)</f>
        <v>-3.0070450766803772E-3</v>
      </c>
      <c r="N323" s="4">
        <v>0.88908199242619301</v>
      </c>
    </row>
    <row r="324" spans="1:14" x14ac:dyDescent="0.25">
      <c r="A324" s="1">
        <v>40443</v>
      </c>
      <c r="B324" s="2">
        <v>33207.21</v>
      </c>
      <c r="C324" s="2">
        <v>12.656000000000001</v>
      </c>
      <c r="D324">
        <f>LN(Table1[[#This Row],[IPC_real]]/B325)</f>
        <v>-2.6909716271125862E-3</v>
      </c>
      <c r="E324">
        <f>LN(Table1[[#This Row],[MXNUSD_real]]/C325)</f>
        <v>-7.3998605791370719E-3</v>
      </c>
      <c r="N324" s="4">
        <v>0.88412356167383765</v>
      </c>
    </row>
    <row r="325" spans="1:14" x14ac:dyDescent="0.25">
      <c r="A325" s="1">
        <v>40442</v>
      </c>
      <c r="B325" s="2">
        <v>33296.69</v>
      </c>
      <c r="C325" s="2">
        <v>12.75</v>
      </c>
      <c r="D325">
        <f>LN(Table1[[#This Row],[IPC_real]]/B326)</f>
        <v>6.9580665151493324E-4</v>
      </c>
      <c r="E325">
        <f>LN(Table1[[#This Row],[MXNUSD_real]]/C326)</f>
        <v>-1.7240032481004443E-3</v>
      </c>
      <c r="N325" s="4">
        <v>0.8868212561040163</v>
      </c>
    </row>
    <row r="326" spans="1:14" x14ac:dyDescent="0.25">
      <c r="A326" s="1">
        <v>40441</v>
      </c>
      <c r="B326" s="2">
        <v>33273.53</v>
      </c>
      <c r="C326" s="2">
        <v>12.772</v>
      </c>
      <c r="D326">
        <f>LN(Table1[[#This Row],[IPC_real]]/B327)</f>
        <v>6.8407759987461009E-3</v>
      </c>
      <c r="E326">
        <f>LN(Table1[[#This Row],[MXNUSD_real]]/C327)</f>
        <v>-1.4083407382156098E-3</v>
      </c>
      <c r="N326" s="4">
        <v>0.88812221735976371</v>
      </c>
    </row>
    <row r="327" spans="1:14" x14ac:dyDescent="0.25">
      <c r="A327" s="1">
        <v>40436</v>
      </c>
      <c r="B327" s="2">
        <v>33046.69</v>
      </c>
      <c r="C327" s="2">
        <v>12.79</v>
      </c>
      <c r="D327">
        <f>LN(Table1[[#This Row],[IPC_real]]/B328)</f>
        <v>-3.4218449887160992E-4</v>
      </c>
      <c r="E327">
        <f>LN(Table1[[#This Row],[MXNUSD_real]]/C328)</f>
        <v>-2.9666662401571335E-3</v>
      </c>
      <c r="N327" s="4">
        <v>0.888022309489779</v>
      </c>
    </row>
    <row r="328" spans="1:14" x14ac:dyDescent="0.25">
      <c r="A328" s="1">
        <v>40435</v>
      </c>
      <c r="B328" s="2">
        <v>33058</v>
      </c>
      <c r="C328" s="2">
        <v>12.827999999999999</v>
      </c>
      <c r="D328">
        <f>LN(Table1[[#This Row],[IPC_real]]/B329)</f>
        <v>4.1337059388003418E-3</v>
      </c>
      <c r="E328">
        <f>LN(Table1[[#This Row],[MXNUSD_real]]/C329)</f>
        <v>-3.9677960796247755E-3</v>
      </c>
      <c r="N328" s="4">
        <v>0.88919230053640497</v>
      </c>
    </row>
    <row r="329" spans="1:14" x14ac:dyDescent="0.25">
      <c r="A329" s="1">
        <v>40434</v>
      </c>
      <c r="B329" s="2">
        <v>32921.629999999997</v>
      </c>
      <c r="C329" s="2">
        <v>12.879</v>
      </c>
      <c r="D329">
        <f>LN(Table1[[#This Row],[IPC_real]]/B330)</f>
        <v>8.99370654845515E-3</v>
      </c>
      <c r="E329">
        <f>LN(Table1[[#This Row],[MXNUSD_real]]/C330)</f>
        <v>-3.4105916325210817E-3</v>
      </c>
      <c r="N329" s="4">
        <v>0.88843626826019517</v>
      </c>
    </row>
    <row r="330" spans="1:14" x14ac:dyDescent="0.25">
      <c r="A330" s="1">
        <v>40431</v>
      </c>
      <c r="B330" s="2">
        <v>32626.87</v>
      </c>
      <c r="C330" s="2">
        <v>12.923</v>
      </c>
      <c r="D330">
        <f>LN(Table1[[#This Row],[IPC_real]]/B331)</f>
        <v>3.3122631338510433E-3</v>
      </c>
      <c r="E330">
        <f>LN(Table1[[#This Row],[MXNUSD_real]]/C331)</f>
        <v>-9.0128869554524961E-3</v>
      </c>
      <c r="N330" s="4">
        <v>0.88994672850463286</v>
      </c>
    </row>
    <row r="331" spans="1:14" x14ac:dyDescent="0.25">
      <c r="A331" s="1">
        <v>40430</v>
      </c>
      <c r="B331" s="2">
        <v>32518.98</v>
      </c>
      <c r="C331" s="2">
        <v>13.04</v>
      </c>
      <c r="D331">
        <f>LN(Table1[[#This Row],[IPC_real]]/B332)</f>
        <v>3.3692436665536934E-3</v>
      </c>
      <c r="E331">
        <f>LN(Table1[[#This Row],[MXNUSD_real]]/C332)</f>
        <v>1.4120394033553562E-3</v>
      </c>
      <c r="N331" s="4">
        <v>0.88797357952418465</v>
      </c>
    </row>
    <row r="332" spans="1:14" x14ac:dyDescent="0.25">
      <c r="A332" s="1">
        <v>40429</v>
      </c>
      <c r="B332" s="2">
        <v>32409.599999999999</v>
      </c>
      <c r="C332" s="2">
        <v>13.021599999999999</v>
      </c>
      <c r="D332">
        <f>LN(Table1[[#This Row],[IPC_real]]/B333)</f>
        <v>-1.1964601014083796E-3</v>
      </c>
      <c r="E332">
        <f>LN(Table1[[#This Row],[MXNUSD_real]]/C333)</f>
        <v>-1.565401875859201E-3</v>
      </c>
      <c r="N332" s="4">
        <v>0.88785823287986199</v>
      </c>
    </row>
    <row r="333" spans="1:14" x14ac:dyDescent="0.25">
      <c r="A333" s="1">
        <v>40428</v>
      </c>
      <c r="B333" s="2">
        <v>32448.400000000001</v>
      </c>
      <c r="C333" s="2">
        <v>13.042</v>
      </c>
      <c r="D333">
        <f>LN(Table1[[#This Row],[IPC_real]]/B334)</f>
        <v>-9.1501422133386939E-3</v>
      </c>
      <c r="E333">
        <f>LN(Table1[[#This Row],[MXNUSD_real]]/C334)</f>
        <v>7.4653057675095084E-3</v>
      </c>
      <c r="N333" s="4">
        <v>0.88842185675249497</v>
      </c>
    </row>
    <row r="334" spans="1:14" x14ac:dyDescent="0.25">
      <c r="A334" s="1">
        <v>40427</v>
      </c>
      <c r="B334" s="2">
        <v>32746.67</v>
      </c>
      <c r="C334" s="2">
        <v>12.945</v>
      </c>
      <c r="D334">
        <f>LN(Table1[[#This Row],[IPC_real]]/B335)</f>
        <v>4.7077247269103921E-3</v>
      </c>
      <c r="E334">
        <f>LN(Table1[[#This Row],[MXNUSD_real]]/C335)</f>
        <v>-7.4904346023534042E-4</v>
      </c>
      <c r="N334" s="4">
        <v>0.88877631064012308</v>
      </c>
    </row>
    <row r="335" spans="1:14" x14ac:dyDescent="0.25">
      <c r="A335" s="1">
        <v>40424</v>
      </c>
      <c r="B335" s="2">
        <v>32592.87</v>
      </c>
      <c r="C335" s="2">
        <v>12.954700000000001</v>
      </c>
      <c r="D335">
        <f>LN(Table1[[#This Row],[IPC_real]]/B336)</f>
        <v>5.400396449314975E-3</v>
      </c>
      <c r="E335">
        <f>LN(Table1[[#This Row],[MXNUSD_real]]/C336)</f>
        <v>-7.6206224575080857E-3</v>
      </c>
      <c r="N335" s="4">
        <v>0.88857976422577889</v>
      </c>
    </row>
    <row r="336" spans="1:14" x14ac:dyDescent="0.25">
      <c r="A336" s="1">
        <v>40423</v>
      </c>
      <c r="B336" s="2">
        <v>32417.33</v>
      </c>
      <c r="C336" s="2">
        <v>13.053800000000001</v>
      </c>
      <c r="D336">
        <f>LN(Table1[[#This Row],[IPC_real]]/B337)</f>
        <v>2.4121120043229635E-3</v>
      </c>
      <c r="E336">
        <f>LN(Table1[[#This Row],[MXNUSD_real]]/C337)</f>
        <v>-2.1579604177765646E-3</v>
      </c>
      <c r="N336" s="4">
        <v>0.89047323177793269</v>
      </c>
    </row>
    <row r="337" spans="1:14" x14ac:dyDescent="0.25">
      <c r="A337" s="1">
        <v>40422</v>
      </c>
      <c r="B337" s="2">
        <v>32339.23</v>
      </c>
      <c r="C337" s="2">
        <v>13.082000000000001</v>
      </c>
      <c r="D337">
        <f>LN(Table1[[#This Row],[IPC_real]]/B338)</f>
        <v>2.0600212255169208E-2</v>
      </c>
      <c r="E337">
        <f>LN(Table1[[#This Row],[MXNUSD_real]]/C338)</f>
        <v>-1.1400898742314411E-2</v>
      </c>
      <c r="N337" s="4">
        <v>0.88680082673054339</v>
      </c>
    </row>
    <row r="338" spans="1:14" x14ac:dyDescent="0.25">
      <c r="A338" s="1">
        <v>40421</v>
      </c>
      <c r="B338" s="2">
        <v>31679.85</v>
      </c>
      <c r="C338" s="2">
        <v>13.231999999999999</v>
      </c>
      <c r="D338">
        <f>LN(Table1[[#This Row],[IPC_real]]/B339)</f>
        <v>9.425002359191326E-3</v>
      </c>
      <c r="E338">
        <f>LN(Table1[[#This Row],[MXNUSD_real]]/C339)</f>
        <v>7.2435229582600291E-3</v>
      </c>
      <c r="N338" s="4">
        <v>0.88791569973439521</v>
      </c>
    </row>
    <row r="339" spans="1:14" x14ac:dyDescent="0.25">
      <c r="A339" s="1">
        <v>40420</v>
      </c>
      <c r="B339" s="2">
        <v>31382.67</v>
      </c>
      <c r="C339" s="2">
        <v>13.1365</v>
      </c>
      <c r="D339">
        <f>LN(Table1[[#This Row],[IPC_real]]/B340)</f>
        <v>-1.1805385353175173E-2</v>
      </c>
      <c r="E339">
        <f>LN(Table1[[#This Row],[MXNUSD_real]]/C340)</f>
        <v>8.6008060628909016E-3</v>
      </c>
      <c r="N339" s="4">
        <v>0.88436471167055986</v>
      </c>
    </row>
    <row r="340" spans="1:14" x14ac:dyDescent="0.25">
      <c r="A340" s="1">
        <v>40417</v>
      </c>
      <c r="B340" s="2">
        <v>31755.35</v>
      </c>
      <c r="C340" s="2">
        <v>13.023999999999999</v>
      </c>
      <c r="D340">
        <f>LN(Table1[[#This Row],[IPC_real]]/B341)</f>
        <v>1.7066683872360325E-2</v>
      </c>
      <c r="E340">
        <f>LN(Table1[[#This Row],[MXNUSD_real]]/C341)</f>
        <v>-3.2961587468246802E-3</v>
      </c>
      <c r="N340" s="4">
        <v>0.8876153804814777</v>
      </c>
    </row>
    <row r="341" spans="1:14" x14ac:dyDescent="0.25">
      <c r="A341" s="1">
        <v>40416</v>
      </c>
      <c r="B341" s="2">
        <v>31217.99</v>
      </c>
      <c r="C341" s="2">
        <v>13.067</v>
      </c>
      <c r="D341">
        <f>LN(Table1[[#This Row],[IPC_real]]/B342)</f>
        <v>-7.5227279322853538E-3</v>
      </c>
      <c r="E341">
        <f>LN(Table1[[#This Row],[MXNUSD_real]]/C342)</f>
        <v>5.7561845876869487E-3</v>
      </c>
      <c r="N341" s="4">
        <v>0.89001966968135227</v>
      </c>
    </row>
    <row r="342" spans="1:14" x14ac:dyDescent="0.25">
      <c r="A342" s="1">
        <v>40415</v>
      </c>
      <c r="B342" s="2">
        <v>31453.72</v>
      </c>
      <c r="C342" s="2">
        <v>12.992000000000001</v>
      </c>
      <c r="D342">
        <f>LN(Table1[[#This Row],[IPC_real]]/B343)</f>
        <v>2.8281446917773241E-3</v>
      </c>
      <c r="E342">
        <f>LN(Table1[[#This Row],[MXNUSD_real]]/C343)</f>
        <v>2.2346378014163628E-3</v>
      </c>
      <c r="N342" s="4">
        <v>0.88813117512727724</v>
      </c>
    </row>
    <row r="343" spans="1:14" x14ac:dyDescent="0.25">
      <c r="A343" s="1">
        <v>40414</v>
      </c>
      <c r="B343" s="2">
        <v>31364.89</v>
      </c>
      <c r="C343" s="2">
        <v>12.962999999999999</v>
      </c>
      <c r="D343">
        <f>LN(Table1[[#This Row],[IPC_real]]/B344)</f>
        <v>-2.4495316461273117E-2</v>
      </c>
      <c r="E343">
        <f>LN(Table1[[#This Row],[MXNUSD_real]]/C344)</f>
        <v>8.2107355157941004E-3</v>
      </c>
      <c r="N343" s="4">
        <v>0.89122548543362912</v>
      </c>
    </row>
    <row r="344" spans="1:14" x14ac:dyDescent="0.25">
      <c r="A344" s="1">
        <v>40413</v>
      </c>
      <c r="B344" s="2">
        <v>32142.67</v>
      </c>
      <c r="C344" s="2">
        <v>12.856999999999999</v>
      </c>
      <c r="D344">
        <f>LN(Table1[[#This Row],[IPC_real]]/B345)</f>
        <v>-4.6248713212671284E-3</v>
      </c>
      <c r="E344">
        <f>LN(Table1[[#This Row],[MXNUSD_real]]/C345)</f>
        <v>5.5375877575766595E-3</v>
      </c>
      <c r="N344" s="4">
        <v>0.8844580702236039</v>
      </c>
    </row>
    <row r="345" spans="1:14" x14ac:dyDescent="0.25">
      <c r="A345" s="1">
        <v>40410</v>
      </c>
      <c r="B345" s="2">
        <v>32291.67</v>
      </c>
      <c r="C345" s="2">
        <v>12.786</v>
      </c>
      <c r="D345">
        <f>LN(Table1[[#This Row],[IPC_real]]/B346)</f>
        <v>4.2839496786171317E-3</v>
      </c>
      <c r="E345">
        <f>LN(Table1[[#This Row],[MXNUSD_real]]/C346)</f>
        <v>6.0404184446016451E-3</v>
      </c>
      <c r="N345" s="4">
        <v>0.88388174528139085</v>
      </c>
    </row>
    <row r="346" spans="1:14" x14ac:dyDescent="0.25">
      <c r="A346" s="1">
        <v>40409</v>
      </c>
      <c r="B346" s="2">
        <v>32153.63</v>
      </c>
      <c r="C346" s="2">
        <v>12.709</v>
      </c>
      <c r="D346">
        <f>LN(Table1[[#This Row],[IPC_real]]/B347)</f>
        <v>-7.8892102785453749E-3</v>
      </c>
      <c r="E346">
        <f>LN(Table1[[#This Row],[MXNUSD_real]]/C347)</f>
        <v>7.2652929543291648E-3</v>
      </c>
      <c r="N346" s="4">
        <v>0.88853917168256635</v>
      </c>
    </row>
    <row r="347" spans="1:14" x14ac:dyDescent="0.25">
      <c r="A347" s="1">
        <v>40408</v>
      </c>
      <c r="B347" s="2">
        <v>32408.3</v>
      </c>
      <c r="C347" s="2">
        <v>12.617000000000001</v>
      </c>
      <c r="D347">
        <f>LN(Table1[[#This Row],[IPC_real]]/B348)</f>
        <v>3.7783852446845105E-3</v>
      </c>
      <c r="E347">
        <f>LN(Table1[[#This Row],[MXNUSD_real]]/C348)</f>
        <v>1.268935058048182E-3</v>
      </c>
      <c r="N347" s="4">
        <v>0.88507600317876867</v>
      </c>
    </row>
    <row r="348" spans="1:14" x14ac:dyDescent="0.25">
      <c r="A348" s="1">
        <v>40407</v>
      </c>
      <c r="B348" s="2">
        <v>32286.080000000002</v>
      </c>
      <c r="C348" s="2">
        <v>12.601000000000001</v>
      </c>
      <c r="D348">
        <f>LN(Table1[[#This Row],[IPC_real]]/B349)</f>
        <v>5.1610245049012815E-3</v>
      </c>
      <c r="E348">
        <f>LN(Table1[[#This Row],[MXNUSD_real]]/C349)</f>
        <v>-5.3029527888371515E-3</v>
      </c>
      <c r="N348" s="4">
        <v>0.88648324819778124</v>
      </c>
    </row>
    <row r="349" spans="1:14" x14ac:dyDescent="0.25">
      <c r="A349" s="1">
        <v>40406</v>
      </c>
      <c r="B349" s="2">
        <v>32119.88</v>
      </c>
      <c r="C349" s="2">
        <v>12.667999999999999</v>
      </c>
      <c r="D349">
        <f>LN(Table1[[#This Row],[IPC_real]]/B350)</f>
        <v>6.2691113789628485E-4</v>
      </c>
      <c r="E349">
        <f>LN(Table1[[#This Row],[MXNUSD_real]]/C350)</f>
        <v>-3.8605523622164649E-3</v>
      </c>
      <c r="N349" s="4">
        <v>0.88404859778066802</v>
      </c>
    </row>
    <row r="350" spans="1:14" x14ac:dyDescent="0.25">
      <c r="A350" s="1">
        <v>40403</v>
      </c>
      <c r="B350" s="2">
        <v>32099.75</v>
      </c>
      <c r="C350" s="2">
        <v>12.717000000000001</v>
      </c>
      <c r="D350">
        <f>LN(Table1[[#This Row],[IPC_real]]/B351)</f>
        <v>1.8278519509240688E-3</v>
      </c>
      <c r="E350">
        <f>LN(Table1[[#This Row],[MXNUSD_real]]/C351)</f>
        <v>-1.4144273928104801E-3</v>
      </c>
      <c r="N350" s="4">
        <v>0.88516563151619398</v>
      </c>
    </row>
    <row r="351" spans="1:14" x14ac:dyDescent="0.25">
      <c r="A351" s="1">
        <v>40402</v>
      </c>
      <c r="B351" s="2">
        <v>32041.13</v>
      </c>
      <c r="C351" s="2">
        <v>12.734999999999999</v>
      </c>
      <c r="D351">
        <f>LN(Table1[[#This Row],[IPC_real]]/B352)</f>
        <v>-5.4415232615236055E-4</v>
      </c>
      <c r="E351">
        <f>LN(Table1[[#This Row],[MXNUSD_real]]/C352)</f>
        <v>8.0912191125040184E-4</v>
      </c>
      <c r="N351" s="4">
        <v>0.88495900778315117</v>
      </c>
    </row>
    <row r="352" spans="1:14" x14ac:dyDescent="0.25">
      <c r="A352" s="1">
        <v>40401</v>
      </c>
      <c r="B352" s="2">
        <v>32058.57</v>
      </c>
      <c r="C352" s="2">
        <v>12.7247</v>
      </c>
      <c r="D352">
        <f>LN(Table1[[#This Row],[IPC_real]]/B353)</f>
        <v>-1.9367624057842637E-2</v>
      </c>
      <c r="E352">
        <f>LN(Table1[[#This Row],[MXNUSD_real]]/C353)</f>
        <v>8.341371849396385E-3</v>
      </c>
      <c r="N352" s="4">
        <v>0.88444892026033106</v>
      </c>
    </row>
    <row r="353" spans="1:14" x14ac:dyDescent="0.25">
      <c r="A353" s="1">
        <v>40400</v>
      </c>
      <c r="B353" s="2">
        <v>32685.52</v>
      </c>
      <c r="C353" s="2">
        <v>12.619</v>
      </c>
      <c r="D353">
        <f>LN(Table1[[#This Row],[IPC_real]]/B354)</f>
        <v>-4.6411203418406316E-3</v>
      </c>
      <c r="E353">
        <f>LN(Table1[[#This Row],[MXNUSD_real]]/C354)</f>
        <v>-1.188613088028989E-4</v>
      </c>
      <c r="N353" s="4">
        <v>0.88685564878882928</v>
      </c>
    </row>
    <row r="354" spans="1:14" x14ac:dyDescent="0.25">
      <c r="A354" s="1">
        <v>40399</v>
      </c>
      <c r="B354" s="2">
        <v>32837.57</v>
      </c>
      <c r="C354" s="2">
        <v>12.6205</v>
      </c>
      <c r="D354">
        <f>LN(Table1[[#This Row],[IPC_real]]/B355)</f>
        <v>-2.4439036190578751E-3</v>
      </c>
      <c r="E354">
        <f>LN(Table1[[#This Row],[MXNUSD_real]]/C355)</f>
        <v>-8.8745726117220505E-3</v>
      </c>
      <c r="N354" s="4">
        <v>0.88923981433216848</v>
      </c>
    </row>
    <row r="355" spans="1:14" x14ac:dyDescent="0.25">
      <c r="A355" s="1">
        <v>40396</v>
      </c>
      <c r="B355" s="2">
        <v>32917.919999999998</v>
      </c>
      <c r="C355" s="2">
        <v>12.733000000000001</v>
      </c>
      <c r="D355">
        <f>LN(Table1[[#This Row],[IPC_real]]/B356)</f>
        <v>3.2601540947010743E-4</v>
      </c>
      <c r="E355">
        <f>LN(Table1[[#This Row],[MXNUSD_real]]/C356)</f>
        <v>1.3019277776462395E-2</v>
      </c>
      <c r="N355" s="4">
        <v>0.88873862473048304</v>
      </c>
    </row>
    <row r="356" spans="1:14" x14ac:dyDescent="0.25">
      <c r="A356" s="1">
        <v>40395</v>
      </c>
      <c r="B356" s="2">
        <v>32907.19</v>
      </c>
      <c r="C356" s="2">
        <v>12.568300000000001</v>
      </c>
      <c r="D356">
        <f>LN(Table1[[#This Row],[IPC_real]]/B357)</f>
        <v>2.0392759759620732E-4</v>
      </c>
      <c r="E356">
        <f>LN(Table1[[#This Row],[MXNUSD_real]]/C357)</f>
        <v>2.5732657611166093E-3</v>
      </c>
      <c r="N356" s="4">
        <v>0.88786046268311836</v>
      </c>
    </row>
    <row r="357" spans="1:14" x14ac:dyDescent="0.25">
      <c r="A357" s="1">
        <v>40394</v>
      </c>
      <c r="B357" s="2">
        <v>32900.480000000003</v>
      </c>
      <c r="C357" s="2">
        <v>12.536</v>
      </c>
      <c r="D357">
        <f>LN(Table1[[#This Row],[IPC_real]]/B358)</f>
        <v>4.0323765102391398E-3</v>
      </c>
      <c r="E357">
        <f>LN(Table1[[#This Row],[MXNUSD_real]]/C358)</f>
        <v>-3.9805800510221952E-3</v>
      </c>
      <c r="N357" s="4">
        <v>0.88703094803083071</v>
      </c>
    </row>
    <row r="358" spans="1:14" x14ac:dyDescent="0.25">
      <c r="A358" s="1">
        <v>40393</v>
      </c>
      <c r="B358" s="2">
        <v>32768.080000000002</v>
      </c>
      <c r="C358" s="2">
        <v>12.586</v>
      </c>
      <c r="D358">
        <f>LN(Table1[[#This Row],[IPC_real]]/B359)</f>
        <v>-1.477176312982063E-3</v>
      </c>
      <c r="E358">
        <f>LN(Table1[[#This Row],[MXNUSD_real]]/C359)</f>
        <v>1.5903311239864164E-3</v>
      </c>
      <c r="N358" s="4">
        <v>0.88399282824972014</v>
      </c>
    </row>
    <row r="359" spans="1:14" x14ac:dyDescent="0.25">
      <c r="A359" s="1">
        <v>40392</v>
      </c>
      <c r="B359" s="2">
        <v>32816.519999999997</v>
      </c>
      <c r="C359" s="2">
        <v>12.566000000000001</v>
      </c>
      <c r="D359">
        <f>LN(Table1[[#This Row],[IPC_real]]/B360)</f>
        <v>1.5594265271783467E-2</v>
      </c>
      <c r="E359">
        <f>LN(Table1[[#This Row],[MXNUSD_real]]/C360)</f>
        <v>-7.2946723723582635E-3</v>
      </c>
      <c r="N359" s="4">
        <v>0.88738079322280949</v>
      </c>
    </row>
    <row r="360" spans="1:14" x14ac:dyDescent="0.25">
      <c r="A360" s="1">
        <v>40389</v>
      </c>
      <c r="B360" s="2">
        <v>32308.74</v>
      </c>
      <c r="C360" s="2">
        <v>12.657999999999999</v>
      </c>
      <c r="D360">
        <f>LN(Table1[[#This Row],[IPC_real]]/B361)</f>
        <v>-4.7853762463595344E-3</v>
      </c>
      <c r="E360">
        <f>LN(Table1[[#This Row],[MXNUSD_real]]/C361)</f>
        <v>-3.6668350597926242E-3</v>
      </c>
      <c r="N360" s="4">
        <v>0.89042866924345898</v>
      </c>
    </row>
    <row r="361" spans="1:14" x14ac:dyDescent="0.25">
      <c r="A361" s="1">
        <v>40388</v>
      </c>
      <c r="B361" s="2">
        <v>32463.72</v>
      </c>
      <c r="C361" s="2">
        <v>12.704499999999999</v>
      </c>
      <c r="D361">
        <f>LN(Table1[[#This Row],[IPC_real]]/B362)</f>
        <v>-6.1981537697139641E-3</v>
      </c>
      <c r="E361">
        <f>LN(Table1[[#This Row],[MXNUSD_real]]/C362)</f>
        <v>1.4572382012007971E-3</v>
      </c>
      <c r="N361" s="4">
        <v>0.88192184551372144</v>
      </c>
    </row>
    <row r="362" spans="1:14" x14ac:dyDescent="0.25">
      <c r="A362" s="1">
        <v>40387</v>
      </c>
      <c r="B362" s="2">
        <v>32665.56</v>
      </c>
      <c r="C362" s="2">
        <v>12.686</v>
      </c>
      <c r="D362">
        <f>LN(Table1[[#This Row],[IPC_real]]/B363)</f>
        <v>-9.103306628106436E-4</v>
      </c>
      <c r="E362">
        <f>LN(Table1[[#This Row],[MXNUSD_real]]/C363)</f>
        <v>2.3650912641281469E-4</v>
      </c>
      <c r="N362" s="4">
        <v>0.88635129910514465</v>
      </c>
    </row>
    <row r="363" spans="1:14" x14ac:dyDescent="0.25">
      <c r="A363" s="1">
        <v>40386</v>
      </c>
      <c r="B363" s="2">
        <v>32695.31</v>
      </c>
      <c r="C363" s="2">
        <v>12.683</v>
      </c>
      <c r="D363">
        <f>LN(Table1[[#This Row],[IPC_real]]/B364)</f>
        <v>-8.0293847493204517E-3</v>
      </c>
      <c r="E363">
        <f>LN(Table1[[#This Row],[MXNUSD_real]]/C364)</f>
        <v>-4.4931952497447313E-4</v>
      </c>
      <c r="N363" s="4">
        <v>0.88878079844641922</v>
      </c>
    </row>
    <row r="364" spans="1:14" x14ac:dyDescent="0.25">
      <c r="A364" s="1">
        <v>40385</v>
      </c>
      <c r="B364" s="2">
        <v>32958.89</v>
      </c>
      <c r="C364" s="2">
        <v>12.688700000000001</v>
      </c>
      <c r="D364">
        <f>LN(Table1[[#This Row],[IPC_real]]/B365)</f>
        <v>4.6486873329742249E-3</v>
      </c>
      <c r="E364">
        <f>LN(Table1[[#This Row],[MXNUSD_real]]/C365)</f>
        <v>-4.1917900840295012E-3</v>
      </c>
      <c r="N364" s="4">
        <v>0.88673234838655568</v>
      </c>
    </row>
    <row r="365" spans="1:14" x14ac:dyDescent="0.25">
      <c r="A365" s="1">
        <v>40382</v>
      </c>
      <c r="B365" s="2">
        <v>32806.03</v>
      </c>
      <c r="C365" s="2">
        <v>12.742000000000001</v>
      </c>
      <c r="D365">
        <f>LN(Table1[[#This Row],[IPC_real]]/B366)</f>
        <v>2.6026011080838071E-3</v>
      </c>
      <c r="E365">
        <f>LN(Table1[[#This Row],[MXNUSD_real]]/C366)</f>
        <v>-7.8477535845656652E-5</v>
      </c>
      <c r="N365" s="4">
        <v>0.88991187474513689</v>
      </c>
    </row>
    <row r="366" spans="1:14" x14ac:dyDescent="0.25">
      <c r="A366" s="1">
        <v>40381</v>
      </c>
      <c r="B366" s="2">
        <v>32720.76</v>
      </c>
      <c r="C366" s="2">
        <v>12.743</v>
      </c>
      <c r="D366">
        <f>LN(Table1[[#This Row],[IPC_real]]/B367)</f>
        <v>1.887368561751834E-2</v>
      </c>
      <c r="E366">
        <f>LN(Table1[[#This Row],[MXNUSD_real]]/C367)</f>
        <v>-8.5251208833327669E-3</v>
      </c>
      <c r="N366" s="4">
        <v>0.88867037911182378</v>
      </c>
    </row>
    <row r="367" spans="1:14" x14ac:dyDescent="0.25">
      <c r="A367" s="1">
        <v>40380</v>
      </c>
      <c r="B367" s="2">
        <v>32108.99</v>
      </c>
      <c r="C367" s="2">
        <v>12.8521</v>
      </c>
      <c r="D367">
        <f>LN(Table1[[#This Row],[IPC_real]]/B368)</f>
        <v>2.6420003997914936E-3</v>
      </c>
      <c r="E367">
        <f>LN(Table1[[#This Row],[MXNUSD_real]]/C368)</f>
        <v>3.905813393663297E-3</v>
      </c>
      <c r="N367" s="4">
        <v>0.88678348527816286</v>
      </c>
    </row>
    <row r="368" spans="1:14" x14ac:dyDescent="0.25">
      <c r="A368" s="1">
        <v>40379</v>
      </c>
      <c r="B368" s="2">
        <v>32024.27</v>
      </c>
      <c r="C368" s="2">
        <v>12.802</v>
      </c>
      <c r="D368">
        <f>LN(Table1[[#This Row],[IPC_real]]/B369)</f>
        <v>5.5860355383585414E-3</v>
      </c>
      <c r="E368">
        <f>LN(Table1[[#This Row],[MXNUSD_real]]/C369)</f>
        <v>-7.1606781686167457E-3</v>
      </c>
      <c r="N368" s="4">
        <v>0.88724744110681508</v>
      </c>
    </row>
    <row r="369" spans="1:14" x14ac:dyDescent="0.25">
      <c r="A369" s="1">
        <v>40378</v>
      </c>
      <c r="B369" s="2">
        <v>31845.88</v>
      </c>
      <c r="C369" s="2">
        <v>12.894</v>
      </c>
      <c r="D369">
        <f>LN(Table1[[#This Row],[IPC_real]]/B370)</f>
        <v>1.9641910111738796E-3</v>
      </c>
      <c r="E369">
        <f>LN(Table1[[#This Row],[MXNUSD_real]]/C370)</f>
        <v>-2.9969008015005697E-3</v>
      </c>
      <c r="N369" s="4">
        <v>0.88750410780516709</v>
      </c>
    </row>
    <row r="370" spans="1:14" x14ac:dyDescent="0.25">
      <c r="A370" s="1">
        <v>40375</v>
      </c>
      <c r="B370" s="2">
        <v>31783.39</v>
      </c>
      <c r="C370" s="2">
        <v>12.932700000000001</v>
      </c>
      <c r="D370">
        <f>LN(Table1[[#This Row],[IPC_real]]/B371)</f>
        <v>-1.8629857688802737E-2</v>
      </c>
      <c r="E370">
        <f>LN(Table1[[#This Row],[MXNUSD_real]]/C371)</f>
        <v>1.0860841355031103E-2</v>
      </c>
      <c r="N370" s="4">
        <v>0.88885480384244153</v>
      </c>
    </row>
    <row r="371" spans="1:14" x14ac:dyDescent="0.25">
      <c r="A371" s="1">
        <v>40374</v>
      </c>
      <c r="B371" s="2">
        <v>32381.06</v>
      </c>
      <c r="C371" s="2">
        <v>12.792999999999999</v>
      </c>
      <c r="D371">
        <f>LN(Table1[[#This Row],[IPC_real]]/B372)</f>
        <v>2.3296891800247809E-3</v>
      </c>
      <c r="E371">
        <f>LN(Table1[[#This Row],[MXNUSD_real]]/C372)</f>
        <v>4.7796369150514759E-3</v>
      </c>
      <c r="N371" s="4">
        <v>0.88736567800668364</v>
      </c>
    </row>
    <row r="372" spans="1:14" x14ac:dyDescent="0.25">
      <c r="A372" s="1">
        <v>40373</v>
      </c>
      <c r="B372" s="2">
        <v>32305.71</v>
      </c>
      <c r="C372" s="2">
        <v>12.731999999999999</v>
      </c>
      <c r="D372">
        <f>LN(Table1[[#This Row],[IPC_real]]/B373)</f>
        <v>3.73727523044202E-3</v>
      </c>
      <c r="E372">
        <f>LN(Table1[[#This Row],[MXNUSD_real]]/C373)</f>
        <v>2.1228926477190168E-3</v>
      </c>
      <c r="N372" s="4">
        <v>0.89031559486178691</v>
      </c>
    </row>
    <row r="373" spans="1:14" x14ac:dyDescent="0.25">
      <c r="A373" s="1">
        <v>40372</v>
      </c>
      <c r="B373" s="2">
        <v>32185.200000000001</v>
      </c>
      <c r="C373" s="2">
        <v>12.705</v>
      </c>
      <c r="D373">
        <f>LN(Table1[[#This Row],[IPC_real]]/B374)</f>
        <v>9.8243336707806318E-3</v>
      </c>
      <c r="E373">
        <f>LN(Table1[[#This Row],[MXNUSD_real]]/C374)</f>
        <v>-9.4943371590255708E-3</v>
      </c>
      <c r="N373" s="4">
        <v>0.88582513167308941</v>
      </c>
    </row>
    <row r="374" spans="1:14" x14ac:dyDescent="0.25">
      <c r="A374" s="1">
        <v>40371</v>
      </c>
      <c r="B374" s="2">
        <v>31870.55</v>
      </c>
      <c r="C374" s="2">
        <v>12.8262</v>
      </c>
      <c r="D374">
        <f>LN(Table1[[#This Row],[IPC_real]]/B375)</f>
        <v>-4.1881953408086639E-3</v>
      </c>
      <c r="E374">
        <f>LN(Table1[[#This Row],[MXNUSD_real]]/C375)</f>
        <v>4.8220736092418441E-3</v>
      </c>
      <c r="N374" s="4">
        <v>0.88986738368389884</v>
      </c>
    </row>
    <row r="375" spans="1:14" x14ac:dyDescent="0.25">
      <c r="A375" s="1">
        <v>40368</v>
      </c>
      <c r="B375" s="2">
        <v>32004.31</v>
      </c>
      <c r="C375" s="2">
        <v>12.7645</v>
      </c>
      <c r="D375">
        <f>LN(Table1[[#This Row],[IPC_real]]/B376)</f>
        <v>1.3654355013147951E-3</v>
      </c>
      <c r="E375">
        <f>LN(Table1[[#This Row],[MXNUSD_real]]/C376)</f>
        <v>-4.6115448303498344E-3</v>
      </c>
      <c r="N375" s="4">
        <v>0.88843264860589855</v>
      </c>
    </row>
    <row r="376" spans="1:14" x14ac:dyDescent="0.25">
      <c r="A376" s="1">
        <v>40367</v>
      </c>
      <c r="B376" s="2">
        <v>31960.639999999999</v>
      </c>
      <c r="C376" s="2">
        <v>12.823499999999999</v>
      </c>
      <c r="D376">
        <f>LN(Table1[[#This Row],[IPC_real]]/B377)</f>
        <v>-2.329840357486315E-3</v>
      </c>
      <c r="E376">
        <f>LN(Table1[[#This Row],[MXNUSD_real]]/C377)</f>
        <v>-1.4416242195956963E-3</v>
      </c>
      <c r="N376" s="4">
        <v>0.88289542671942611</v>
      </c>
    </row>
    <row r="377" spans="1:14" x14ac:dyDescent="0.25">
      <c r="A377" s="1">
        <v>40366</v>
      </c>
      <c r="B377" s="2">
        <v>32035.19</v>
      </c>
      <c r="C377" s="2">
        <v>12.842000000000001</v>
      </c>
      <c r="D377">
        <f>LN(Table1[[#This Row],[IPC_real]]/B378)</f>
        <v>1.5781976317074974E-2</v>
      </c>
      <c r="E377">
        <f>LN(Table1[[#This Row],[MXNUSD_real]]/C378)</f>
        <v>-1.0688661904087291E-2</v>
      </c>
      <c r="N377" s="4">
        <v>0.88547405644727983</v>
      </c>
    </row>
    <row r="378" spans="1:14" x14ac:dyDescent="0.25">
      <c r="A378" s="1">
        <v>40365</v>
      </c>
      <c r="B378" s="2">
        <v>31533.58</v>
      </c>
      <c r="C378" s="2">
        <v>12.98</v>
      </c>
      <c r="D378">
        <f>LN(Table1[[#This Row],[IPC_real]]/B379)</f>
        <v>4.5174469271671786E-3</v>
      </c>
      <c r="E378">
        <f>LN(Table1[[#This Row],[MXNUSD_real]]/C379)</f>
        <v>-8.6680249696722781E-3</v>
      </c>
      <c r="N378" s="4">
        <v>0.88652663469977577</v>
      </c>
    </row>
    <row r="379" spans="1:14" x14ac:dyDescent="0.25">
      <c r="A379" s="1">
        <v>40364</v>
      </c>
      <c r="B379" s="2">
        <v>31391.45</v>
      </c>
      <c r="C379" s="2">
        <v>13.093</v>
      </c>
      <c r="D379">
        <f>LN(Table1[[#This Row],[IPC_real]]/B380)</f>
        <v>3.7533184490882928E-4</v>
      </c>
      <c r="E379">
        <f>LN(Table1[[#This Row],[MXNUSD_real]]/C380)</f>
        <v>-1.1449945909519661E-3</v>
      </c>
      <c r="N379" s="4">
        <v>0.89062749628643489</v>
      </c>
    </row>
    <row r="380" spans="1:14" x14ac:dyDescent="0.25">
      <c r="A380" s="1">
        <v>40361</v>
      </c>
      <c r="B380" s="2">
        <v>31379.67</v>
      </c>
      <c r="C380" s="2">
        <v>13.108000000000001</v>
      </c>
      <c r="D380">
        <f>LN(Table1[[#This Row],[IPC_real]]/B381)</f>
        <v>5.8370124772486598E-3</v>
      </c>
      <c r="E380">
        <f>LN(Table1[[#This Row],[MXNUSD_real]]/C381)</f>
        <v>7.3660927708873664E-3</v>
      </c>
      <c r="N380" s="4">
        <v>0.88545688419890078</v>
      </c>
    </row>
    <row r="381" spans="1:14" x14ac:dyDescent="0.25">
      <c r="A381" s="1">
        <v>40360</v>
      </c>
      <c r="B381" s="2">
        <v>31197.040000000001</v>
      </c>
      <c r="C381" s="2">
        <v>13.011799999999999</v>
      </c>
      <c r="D381">
        <f>LN(Table1[[#This Row],[IPC_real]]/B382)</f>
        <v>1.285242296872045E-3</v>
      </c>
      <c r="E381">
        <f>LN(Table1[[#This Row],[MXNUSD_real]]/C382)</f>
        <v>9.6375867594267837E-3</v>
      </c>
      <c r="N381" s="4">
        <v>0.88900109947162198</v>
      </c>
    </row>
    <row r="382" spans="1:14" x14ac:dyDescent="0.25">
      <c r="A382" s="1">
        <v>40359</v>
      </c>
      <c r="B382" s="2">
        <v>31156.97</v>
      </c>
      <c r="C382" s="2">
        <v>12.887</v>
      </c>
      <c r="D382">
        <f>LN(Table1[[#This Row],[IPC_real]]/B383)</f>
        <v>-1.0098413827382876E-2</v>
      </c>
      <c r="E382">
        <f>LN(Table1[[#This Row],[MXNUSD_real]]/C383)</f>
        <v>2.7585152601090931E-3</v>
      </c>
      <c r="N382" s="4">
        <v>0.88787042332380206</v>
      </c>
    </row>
    <row r="383" spans="1:14" x14ac:dyDescent="0.25">
      <c r="A383" s="1">
        <v>40358</v>
      </c>
      <c r="B383" s="2">
        <v>31473.200000000001</v>
      </c>
      <c r="C383" s="2">
        <v>12.8515</v>
      </c>
      <c r="D383">
        <f>LN(Table1[[#This Row],[IPC_real]]/B384)</f>
        <v>-3.4199655080631101E-2</v>
      </c>
      <c r="E383">
        <f>LN(Table1[[#This Row],[MXNUSD_real]]/C384)</f>
        <v>1.2094790958490692E-2</v>
      </c>
      <c r="N383" s="4">
        <v>0.89100449567814832</v>
      </c>
    </row>
    <row r="384" spans="1:14" x14ac:dyDescent="0.25">
      <c r="A384" s="1">
        <v>40357</v>
      </c>
      <c r="B384" s="2">
        <v>32568.19</v>
      </c>
      <c r="C384" s="2">
        <v>12.696999999999999</v>
      </c>
      <c r="D384">
        <f>LN(Table1[[#This Row],[IPC_real]]/B385)</f>
        <v>-1.1949309841028399E-3</v>
      </c>
      <c r="E384">
        <f>LN(Table1[[#This Row],[MXNUSD_real]]/C385)</f>
        <v>3.1158202257271107E-3</v>
      </c>
      <c r="N384" s="4">
        <v>0.89036191966490907</v>
      </c>
    </row>
    <row r="385" spans="1:14" x14ac:dyDescent="0.25">
      <c r="A385" s="1">
        <v>40354</v>
      </c>
      <c r="B385" s="2">
        <v>32607.13</v>
      </c>
      <c r="C385" s="2">
        <v>12.657500000000001</v>
      </c>
      <c r="D385">
        <f>LN(Table1[[#This Row],[IPC_real]]/B386)</f>
        <v>9.0687774572570726E-3</v>
      </c>
      <c r="E385">
        <f>LN(Table1[[#This Row],[MXNUSD_real]]/C386)</f>
        <v>-2.2254499541237223E-3</v>
      </c>
      <c r="N385" s="4">
        <v>0.88776154401434171</v>
      </c>
    </row>
    <row r="386" spans="1:14" x14ac:dyDescent="0.25">
      <c r="A386" s="1">
        <v>40353</v>
      </c>
      <c r="B386" s="2">
        <v>32312.76</v>
      </c>
      <c r="C386" s="2">
        <v>12.685700000000001</v>
      </c>
      <c r="D386">
        <f>LN(Table1[[#This Row],[IPC_real]]/B387)</f>
        <v>-1.0789618654812053E-2</v>
      </c>
      <c r="E386">
        <f>LN(Table1[[#This Row],[MXNUSD_real]]/C387)</f>
        <v>4.281680660031352E-3</v>
      </c>
      <c r="N386" s="4">
        <v>0.88440651415224603</v>
      </c>
    </row>
    <row r="387" spans="1:14" x14ac:dyDescent="0.25">
      <c r="A387" s="1">
        <v>40352</v>
      </c>
      <c r="B387" s="2">
        <v>32663.29</v>
      </c>
      <c r="C387" s="2">
        <v>12.631500000000001</v>
      </c>
      <c r="D387">
        <f>LN(Table1[[#This Row],[IPC_real]]/B388)</f>
        <v>5.9136730688101784E-3</v>
      </c>
      <c r="E387">
        <f>LN(Table1[[#This Row],[MXNUSD_real]]/C388)</f>
        <v>6.5527130278486348E-3</v>
      </c>
      <c r="N387" s="4">
        <v>0.88343344025808679</v>
      </c>
    </row>
    <row r="388" spans="1:14" x14ac:dyDescent="0.25">
      <c r="A388" s="1">
        <v>40351</v>
      </c>
      <c r="B388" s="2">
        <v>32470.7</v>
      </c>
      <c r="C388" s="2">
        <v>12.548999999999999</v>
      </c>
      <c r="D388">
        <f>LN(Table1[[#This Row],[IPC_real]]/B389)</f>
        <v>-1.2587251344744206E-2</v>
      </c>
      <c r="E388">
        <f>LN(Table1[[#This Row],[MXNUSD_real]]/C389)</f>
        <v>5.0169466768114606E-3</v>
      </c>
      <c r="N388" s="4">
        <v>0.88627881405617692</v>
      </c>
    </row>
    <row r="389" spans="1:14" x14ac:dyDescent="0.25">
      <c r="A389" s="1">
        <v>40350</v>
      </c>
      <c r="B389" s="2">
        <v>32882</v>
      </c>
      <c r="C389" s="2">
        <v>12.4862</v>
      </c>
      <c r="D389">
        <f>LN(Table1[[#This Row],[IPC_real]]/B390)</f>
        <v>2.0512478001385804E-3</v>
      </c>
      <c r="E389">
        <f>LN(Table1[[#This Row],[MXNUSD_real]]/C390)</f>
        <v>-3.3421047970879016E-3</v>
      </c>
      <c r="N389" s="4">
        <v>0.8823426593858974</v>
      </c>
    </row>
    <row r="390" spans="1:14" x14ac:dyDescent="0.25">
      <c r="A390" s="1">
        <v>40347</v>
      </c>
      <c r="B390" s="2">
        <v>32814.620000000003</v>
      </c>
      <c r="C390" s="2">
        <v>12.528</v>
      </c>
      <c r="D390">
        <f>LN(Table1[[#This Row],[IPC_real]]/B391)</f>
        <v>1.1977444321022829E-3</v>
      </c>
      <c r="E390">
        <f>LN(Table1[[#This Row],[MXNUSD_real]]/C391)</f>
        <v>-6.2067518424710798E-3</v>
      </c>
      <c r="N390" s="4">
        <v>0.88613840374627983</v>
      </c>
    </row>
    <row r="391" spans="1:14" x14ac:dyDescent="0.25">
      <c r="A391" s="1">
        <v>40346</v>
      </c>
      <c r="B391" s="2">
        <v>32775.339999999997</v>
      </c>
      <c r="C391" s="2">
        <v>12.606</v>
      </c>
      <c r="D391">
        <f>LN(Table1[[#This Row],[IPC_real]]/B392)</f>
        <v>-9.237436455690433E-4</v>
      </c>
      <c r="E391">
        <f>LN(Table1[[#This Row],[MXNUSD_real]]/C392)</f>
        <v>2.7007721555973108E-3</v>
      </c>
      <c r="N391" s="4">
        <v>0.88815558312112985</v>
      </c>
    </row>
    <row r="392" spans="1:14" x14ac:dyDescent="0.25">
      <c r="A392" s="1">
        <v>40345</v>
      </c>
      <c r="B392" s="2">
        <v>32805.629999999997</v>
      </c>
      <c r="C392" s="2">
        <v>12.571999999999999</v>
      </c>
      <c r="D392">
        <f>LN(Table1[[#This Row],[IPC_real]]/B393)</f>
        <v>3.6716519825275296E-3</v>
      </c>
      <c r="E392">
        <f>LN(Table1[[#This Row],[MXNUSD_real]]/C393)</f>
        <v>-3.5787423091064054E-4</v>
      </c>
      <c r="N392" s="4">
        <v>0.8856747086756116</v>
      </c>
    </row>
    <row r="393" spans="1:14" x14ac:dyDescent="0.25">
      <c r="A393" s="1">
        <v>40344</v>
      </c>
      <c r="B393" s="2">
        <v>32685.4</v>
      </c>
      <c r="C393" s="2">
        <v>12.576499999999999</v>
      </c>
      <c r="D393">
        <f>LN(Table1[[#This Row],[IPC_real]]/B394)</f>
        <v>1.3769896215078162E-2</v>
      </c>
      <c r="E393">
        <f>LN(Table1[[#This Row],[MXNUSD_real]]/C394)</f>
        <v>-9.3230806513280272E-3</v>
      </c>
      <c r="N393" s="4">
        <v>0.88474683685850719</v>
      </c>
    </row>
    <row r="394" spans="1:14" x14ac:dyDescent="0.25">
      <c r="A394" s="1">
        <v>40343</v>
      </c>
      <c r="B394" s="2">
        <v>32238.41</v>
      </c>
      <c r="C394" s="2">
        <v>12.6943</v>
      </c>
      <c r="D394">
        <f>LN(Table1[[#This Row],[IPC_real]]/B395)</f>
        <v>3.5464682915485085E-3</v>
      </c>
      <c r="E394">
        <f>LN(Table1[[#This Row],[MXNUSD_real]]/C395)</f>
        <v>-6.9298434896216245E-4</v>
      </c>
      <c r="N394" s="4">
        <v>0.8853778815950657</v>
      </c>
    </row>
    <row r="395" spans="1:14" x14ac:dyDescent="0.25">
      <c r="A395" s="1">
        <v>40340</v>
      </c>
      <c r="B395" s="2">
        <v>32124.28</v>
      </c>
      <c r="C395" s="2">
        <v>12.703099999999999</v>
      </c>
      <c r="D395">
        <f>LN(Table1[[#This Row],[IPC_real]]/B396)</f>
        <v>6.685795856000115E-3</v>
      </c>
      <c r="E395">
        <f>LN(Table1[[#This Row],[MXNUSD_real]]/C396)</f>
        <v>-3.4498916342622496E-3</v>
      </c>
      <c r="N395" s="4">
        <v>0.88855547937464519</v>
      </c>
    </row>
    <row r="396" spans="1:14" x14ac:dyDescent="0.25">
      <c r="A396" s="1">
        <v>40339</v>
      </c>
      <c r="B396" s="2">
        <v>31910.22</v>
      </c>
      <c r="C396" s="2">
        <v>12.747</v>
      </c>
      <c r="D396">
        <f>LN(Table1[[#This Row],[IPC_real]]/B397)</f>
        <v>2.2209246082973075E-2</v>
      </c>
      <c r="E396">
        <f>LN(Table1[[#This Row],[MXNUSD_real]]/C397)</f>
        <v>-7.0356763020052683E-3</v>
      </c>
      <c r="N396" s="4">
        <v>0.88954763998035935</v>
      </c>
    </row>
    <row r="397" spans="1:14" x14ac:dyDescent="0.25">
      <c r="A397" s="1">
        <v>40338</v>
      </c>
      <c r="B397" s="2">
        <v>31209.33</v>
      </c>
      <c r="C397" s="2">
        <v>12.837</v>
      </c>
      <c r="D397">
        <f>LN(Table1[[#This Row],[IPC_real]]/B398)</f>
        <v>4.8017441458508385E-3</v>
      </c>
      <c r="E397">
        <f>LN(Table1[[#This Row],[MXNUSD_real]]/C398)</f>
        <v>-6.522268637293765E-3</v>
      </c>
      <c r="N397" s="4">
        <v>0.88630143084332491</v>
      </c>
    </row>
    <row r="398" spans="1:14" x14ac:dyDescent="0.25">
      <c r="A398" s="1">
        <v>40337</v>
      </c>
      <c r="B398" s="2">
        <v>31059.83</v>
      </c>
      <c r="C398" s="2">
        <v>12.920999999999999</v>
      </c>
      <c r="D398">
        <f>LN(Table1[[#This Row],[IPC_real]]/B399)</f>
        <v>1.0382812431512388E-2</v>
      </c>
      <c r="E398">
        <f>LN(Table1[[#This Row],[MXNUSD_real]]/C399)</f>
        <v>1.316553917175398E-3</v>
      </c>
      <c r="N398" s="4">
        <v>0.88747005023280989</v>
      </c>
    </row>
    <row r="399" spans="1:14" x14ac:dyDescent="0.25">
      <c r="A399" s="1">
        <v>40336</v>
      </c>
      <c r="B399" s="2">
        <v>30739.01</v>
      </c>
      <c r="C399" s="2">
        <v>12.904</v>
      </c>
      <c r="D399">
        <f>LN(Table1[[#This Row],[IPC_real]]/B400)</f>
        <v>-8.2175476025461488E-3</v>
      </c>
      <c r="E399">
        <f>LN(Table1[[#This Row],[MXNUSD_real]]/C400)</f>
        <v>-4.9474436104672698E-3</v>
      </c>
      <c r="N399" s="4">
        <v>0.89057277418065084</v>
      </c>
    </row>
    <row r="400" spans="1:14" x14ac:dyDescent="0.25">
      <c r="A400" s="1">
        <v>40333</v>
      </c>
      <c r="B400" s="2">
        <v>30992.65</v>
      </c>
      <c r="C400" s="2">
        <v>12.968</v>
      </c>
      <c r="D400">
        <f>LN(Table1[[#This Row],[IPC_real]]/B401)</f>
        <v>-1.0885391620694613E-2</v>
      </c>
      <c r="E400">
        <f>LN(Table1[[#This Row],[MXNUSD_real]]/C401)</f>
        <v>1.2492887989440144E-2</v>
      </c>
      <c r="N400" s="4">
        <v>0.88759460988700523</v>
      </c>
    </row>
    <row r="401" spans="1:14" x14ac:dyDescent="0.25">
      <c r="A401" s="1">
        <v>40332</v>
      </c>
      <c r="B401" s="2">
        <v>31331.86</v>
      </c>
      <c r="C401" s="2">
        <v>12.807</v>
      </c>
      <c r="D401">
        <f>LN(Table1[[#This Row],[IPC_real]]/B402)</f>
        <v>-2.5516491416824566E-3</v>
      </c>
      <c r="E401">
        <f>LN(Table1[[#This Row],[MXNUSD_real]]/C402)</f>
        <v>-1.8722214689464993E-3</v>
      </c>
      <c r="N401" s="4">
        <v>0.88859368709947928</v>
      </c>
    </row>
    <row r="402" spans="1:14" x14ac:dyDescent="0.25">
      <c r="A402" s="1">
        <v>40331</v>
      </c>
      <c r="B402" s="2">
        <v>31411.91</v>
      </c>
      <c r="C402" s="2">
        <v>12.831</v>
      </c>
      <c r="D402">
        <f>LN(Table1[[#This Row],[IPC_real]]/B403)</f>
        <v>5.3011930829444751E-3</v>
      </c>
      <c r="E402">
        <f>LN(Table1[[#This Row],[MXNUSD_real]]/C403)</f>
        <v>-4.8979689755471421E-3</v>
      </c>
      <c r="N402" s="4">
        <v>0.88982578486145592</v>
      </c>
    </row>
    <row r="403" spans="1:14" x14ac:dyDescent="0.25">
      <c r="A403" s="1">
        <v>40330</v>
      </c>
      <c r="B403" s="2">
        <v>31245.83</v>
      </c>
      <c r="C403" s="2">
        <v>12.894</v>
      </c>
      <c r="D403">
        <f>LN(Table1[[#This Row],[IPC_real]]/B404)</f>
        <v>-2.5053313719317738E-2</v>
      </c>
      <c r="E403">
        <f>LN(Table1[[#This Row],[MXNUSD_real]]/C404)</f>
        <v>-3.0200975446788131E-3</v>
      </c>
      <c r="N403" s="4">
        <v>0.88965398134943785</v>
      </c>
    </row>
    <row r="404" spans="1:14" x14ac:dyDescent="0.25">
      <c r="A404" s="1">
        <v>40329</v>
      </c>
      <c r="B404" s="2">
        <v>32038.53</v>
      </c>
      <c r="C404" s="2">
        <v>12.933</v>
      </c>
      <c r="D404">
        <f>LN(Table1[[#This Row],[IPC_real]]/B405)</f>
        <v>1.5443309542505586E-2</v>
      </c>
      <c r="E404">
        <f>LN(Table1[[#This Row],[MXNUSD_real]]/C405)</f>
        <v>-8.8880307271222022E-4</v>
      </c>
      <c r="N404" s="4">
        <v>0.88683742038840396</v>
      </c>
    </row>
    <row r="405" spans="1:14" x14ac:dyDescent="0.25">
      <c r="A405" s="1">
        <v>40326</v>
      </c>
      <c r="B405" s="2">
        <v>31547.55</v>
      </c>
      <c r="C405" s="2">
        <v>12.9445</v>
      </c>
      <c r="D405">
        <f>LN(Table1[[#This Row],[IPC_real]]/B406)</f>
        <v>-1.5993433131359067E-2</v>
      </c>
      <c r="E405">
        <f>LN(Table1[[#This Row],[MXNUSD_real]]/C406)</f>
        <v>1.0210706978380196E-2</v>
      </c>
      <c r="N405" s="4">
        <v>0.8891174220752126</v>
      </c>
    </row>
    <row r="406" spans="1:14" x14ac:dyDescent="0.25">
      <c r="A406" s="1">
        <v>40325</v>
      </c>
      <c r="B406" s="2">
        <v>32056.16</v>
      </c>
      <c r="C406" s="2">
        <v>12.813000000000001</v>
      </c>
      <c r="D406">
        <f>LN(Table1[[#This Row],[IPC_real]]/B407)</f>
        <v>2.2961457400728007E-2</v>
      </c>
      <c r="E406">
        <f>LN(Table1[[#This Row],[MXNUSD_real]]/C407)</f>
        <v>-1.4335218944717934E-2</v>
      </c>
      <c r="N406" s="4">
        <v>0.88216215516894736</v>
      </c>
    </row>
    <row r="407" spans="1:14" x14ac:dyDescent="0.25">
      <c r="A407" s="1">
        <v>40324</v>
      </c>
      <c r="B407" s="2">
        <v>31328.49</v>
      </c>
      <c r="C407" s="2">
        <v>12.997999999999999</v>
      </c>
      <c r="D407">
        <f>LN(Table1[[#This Row],[IPC_real]]/B408)</f>
        <v>2.2411854569413348E-2</v>
      </c>
      <c r="E407">
        <f>LN(Table1[[#This Row],[MXNUSD_real]]/C408)</f>
        <v>-1.0332647130865709E-2</v>
      </c>
      <c r="N407" s="4">
        <v>0.88802753344071883</v>
      </c>
    </row>
    <row r="408" spans="1:14" x14ac:dyDescent="0.25">
      <c r="A408" s="1">
        <v>40323</v>
      </c>
      <c r="B408" s="2">
        <v>30634.17</v>
      </c>
      <c r="C408" s="2">
        <v>13.132999999999999</v>
      </c>
      <c r="D408">
        <f>LN(Table1[[#This Row],[IPC_real]]/B409)</f>
        <v>-4.0821868064978353E-3</v>
      </c>
      <c r="E408">
        <f>LN(Table1[[#This Row],[MXNUSD_real]]/C409)</f>
        <v>1.7319608831355714E-2</v>
      </c>
      <c r="N408" s="4">
        <v>0.88910033051718962</v>
      </c>
    </row>
    <row r="409" spans="1:14" x14ac:dyDescent="0.25">
      <c r="A409" s="1">
        <v>40322</v>
      </c>
      <c r="B409" s="2">
        <v>30759.48</v>
      </c>
      <c r="C409" s="2">
        <v>12.907500000000001</v>
      </c>
      <c r="D409">
        <f>LN(Table1[[#This Row],[IPC_real]]/B410)</f>
        <v>4.2460695347351207E-3</v>
      </c>
      <c r="E409">
        <f>LN(Table1[[#This Row],[MXNUSD_real]]/C410)</f>
        <v>-8.2940006748615271E-3</v>
      </c>
      <c r="N409" s="4">
        <v>0.88844092470711256</v>
      </c>
    </row>
    <row r="410" spans="1:14" x14ac:dyDescent="0.25">
      <c r="A410" s="1">
        <v>40319</v>
      </c>
      <c r="B410" s="2">
        <v>30629.15</v>
      </c>
      <c r="C410" s="2">
        <v>13.015000000000001</v>
      </c>
      <c r="D410">
        <f>LN(Table1[[#This Row],[IPC_real]]/B411)</f>
        <v>8.5601131122974555E-3</v>
      </c>
      <c r="E410">
        <f>LN(Table1[[#This Row],[MXNUSD_real]]/C411)</f>
        <v>1.1531809849920909E-3</v>
      </c>
      <c r="N410" s="4">
        <v>0.88766708032868258</v>
      </c>
    </row>
    <row r="411" spans="1:14" x14ac:dyDescent="0.25">
      <c r="A411" s="1">
        <v>40318</v>
      </c>
      <c r="B411" s="2">
        <v>30368.080000000002</v>
      </c>
      <c r="C411" s="2">
        <v>13</v>
      </c>
      <c r="D411">
        <f>LN(Table1[[#This Row],[IPC_real]]/B412)</f>
        <v>-2.0361572045380867E-2</v>
      </c>
      <c r="E411">
        <f>LN(Table1[[#This Row],[MXNUSD_real]]/C412)</f>
        <v>1.0050335853501506E-2</v>
      </c>
      <c r="N411" s="4">
        <v>0.88318259842619684</v>
      </c>
    </row>
    <row r="412" spans="1:14" x14ac:dyDescent="0.25">
      <c r="A412" s="1">
        <v>40317</v>
      </c>
      <c r="B412" s="2">
        <v>30992.76</v>
      </c>
      <c r="C412" s="2">
        <v>12.87</v>
      </c>
      <c r="D412">
        <f>LN(Table1[[#This Row],[IPC_real]]/B413)</f>
        <v>-4.6223181262313008E-3</v>
      </c>
      <c r="E412">
        <f>LN(Table1[[#This Row],[MXNUSD_real]]/C413)</f>
        <v>1.211662273395228E-2</v>
      </c>
      <c r="N412" s="4">
        <v>0.89210604372205538</v>
      </c>
    </row>
    <row r="413" spans="1:14" x14ac:dyDescent="0.25">
      <c r="A413" s="1">
        <v>40316</v>
      </c>
      <c r="B413" s="2">
        <v>31136.35</v>
      </c>
      <c r="C413" s="2">
        <v>12.715</v>
      </c>
      <c r="D413">
        <f>LN(Table1[[#This Row],[IPC_real]]/B414)</f>
        <v>-1.416801101592377E-2</v>
      </c>
      <c r="E413">
        <f>LN(Table1[[#This Row],[MXNUSD_real]]/C414)</f>
        <v>2.3622058228376834E-3</v>
      </c>
      <c r="N413" s="4">
        <v>0.89089296113159211</v>
      </c>
    </row>
    <row r="414" spans="1:14" x14ac:dyDescent="0.25">
      <c r="A414" s="1">
        <v>40315</v>
      </c>
      <c r="B414" s="2">
        <v>31580.63</v>
      </c>
      <c r="C414" s="2">
        <v>12.685</v>
      </c>
      <c r="D414">
        <f>LN(Table1[[#This Row],[IPC_real]]/B415)</f>
        <v>-7.3225661835486936E-3</v>
      </c>
      <c r="E414">
        <f>LN(Table1[[#This Row],[MXNUSD_real]]/C415)</f>
        <v>9.0594388913607521E-3</v>
      </c>
      <c r="N414" s="4">
        <v>0.87988787333591834</v>
      </c>
    </row>
    <row r="415" spans="1:14" x14ac:dyDescent="0.25">
      <c r="A415" s="1">
        <v>40312</v>
      </c>
      <c r="B415" s="2">
        <v>31812.73</v>
      </c>
      <c r="C415" s="2">
        <v>12.570600000000001</v>
      </c>
      <c r="D415">
        <f>LN(Table1[[#This Row],[IPC_real]]/B416)</f>
        <v>-1.651346632564267E-2</v>
      </c>
      <c r="E415">
        <f>LN(Table1[[#This Row],[MXNUSD_real]]/C416)</f>
        <v>1.7057127521096796E-2</v>
      </c>
      <c r="N415" s="4">
        <v>0.89024042580338847</v>
      </c>
    </row>
    <row r="416" spans="1:14" x14ac:dyDescent="0.25">
      <c r="A416" s="1">
        <v>40311</v>
      </c>
      <c r="B416" s="2">
        <v>32342.43</v>
      </c>
      <c r="C416" s="2">
        <v>12.358000000000001</v>
      </c>
      <c r="D416">
        <f>LN(Table1[[#This Row],[IPC_real]]/B417)</f>
        <v>-1.1495309048076146E-3</v>
      </c>
      <c r="E416">
        <f>LN(Table1[[#This Row],[MXNUSD_real]]/C417)</f>
        <v>-8.0886520627834898E-4</v>
      </c>
      <c r="N416" s="4">
        <v>0.88689990110252825</v>
      </c>
    </row>
    <row r="417" spans="1:14" x14ac:dyDescent="0.25">
      <c r="A417" s="1">
        <v>40310</v>
      </c>
      <c r="B417" s="2">
        <v>32379.63</v>
      </c>
      <c r="C417" s="2">
        <v>12.368</v>
      </c>
      <c r="D417">
        <f>LN(Table1[[#This Row],[IPC_real]]/B418)</f>
        <v>8.0783412756382268E-3</v>
      </c>
      <c r="E417">
        <f>LN(Table1[[#This Row],[MXNUSD_real]]/C418)</f>
        <v>-9.8158322924202027E-3</v>
      </c>
      <c r="N417" s="4">
        <v>0.88325300706012644</v>
      </c>
    </row>
    <row r="418" spans="1:14" x14ac:dyDescent="0.25">
      <c r="A418" s="1">
        <v>40309</v>
      </c>
      <c r="B418" s="2">
        <v>32119.11</v>
      </c>
      <c r="C418" s="2">
        <v>12.49</v>
      </c>
      <c r="D418">
        <f>LN(Table1[[#This Row],[IPC_real]]/B419)</f>
        <v>-4.9012436298223796E-3</v>
      </c>
      <c r="E418">
        <f>LN(Table1[[#This Row],[MXNUSD_real]]/C419)</f>
        <v>-3.2020493389181776E-4</v>
      </c>
      <c r="N418" s="4">
        <v>0.88233278800833947</v>
      </c>
    </row>
    <row r="419" spans="1:14" x14ac:dyDescent="0.25">
      <c r="A419" s="1">
        <v>40308</v>
      </c>
      <c r="B419" s="2">
        <v>32276.92</v>
      </c>
      <c r="C419" s="2">
        <v>12.494</v>
      </c>
      <c r="D419">
        <f>LN(Table1[[#This Row],[IPC_real]]/B420)</f>
        <v>2.4719861534284952E-2</v>
      </c>
      <c r="E419">
        <f>LN(Table1[[#This Row],[MXNUSD_real]]/C420)</f>
        <v>-3.7621745517497286E-2</v>
      </c>
      <c r="N419" s="4">
        <v>0.88643362374912982</v>
      </c>
    </row>
    <row r="420" spans="1:14" x14ac:dyDescent="0.25">
      <c r="A420" s="1">
        <v>40305</v>
      </c>
      <c r="B420" s="2">
        <v>31488.82</v>
      </c>
      <c r="C420" s="2">
        <v>12.973000000000001</v>
      </c>
      <c r="D420">
        <f>LN(Table1[[#This Row],[IPC_real]]/B421)</f>
        <v>2.8574723690096737E-3</v>
      </c>
      <c r="E420">
        <f>LN(Table1[[#This Row],[MXNUSD_real]]/C421)</f>
        <v>-1.2181725050470806E-2</v>
      </c>
      <c r="N420" s="4">
        <v>0.88368429835233298</v>
      </c>
    </row>
    <row r="421" spans="1:14" x14ac:dyDescent="0.25">
      <c r="A421" s="1">
        <v>40304</v>
      </c>
      <c r="B421" s="2">
        <v>31398.97</v>
      </c>
      <c r="C421" s="2">
        <v>13.132</v>
      </c>
      <c r="D421">
        <f>LN(Table1[[#This Row],[IPC_real]]/B422)</f>
        <v>-1.8813302092109994E-2</v>
      </c>
      <c r="E421">
        <f>LN(Table1[[#This Row],[MXNUSD_real]]/C422)</f>
        <v>3.4395334746853891E-2</v>
      </c>
      <c r="N421" s="4">
        <v>0.8800156816446788</v>
      </c>
    </row>
    <row r="422" spans="1:14" x14ac:dyDescent="0.25">
      <c r="A422" s="1">
        <v>40303</v>
      </c>
      <c r="B422" s="2">
        <v>31995.279999999999</v>
      </c>
      <c r="C422" s="2">
        <v>12.688000000000001</v>
      </c>
      <c r="D422">
        <f>LN(Table1[[#This Row],[IPC_real]]/B423)</f>
        <v>-3.9107335659741213E-3</v>
      </c>
      <c r="E422">
        <f>LN(Table1[[#This Row],[MXNUSD_real]]/C423)</f>
        <v>1.6248892551652711E-2</v>
      </c>
      <c r="N422" s="4">
        <v>0.88763752419655018</v>
      </c>
    </row>
    <row r="423" spans="1:14" x14ac:dyDescent="0.25">
      <c r="A423" s="1">
        <v>40302</v>
      </c>
      <c r="B423" s="2">
        <v>32120.65</v>
      </c>
      <c r="C423" s="2">
        <v>12.483499999999999</v>
      </c>
      <c r="D423">
        <f>LN(Table1[[#This Row],[IPC_real]]/B424)</f>
        <v>-2.1918230108220988E-2</v>
      </c>
      <c r="E423">
        <f>LN(Table1[[#This Row],[MXNUSD_real]]/C424)</f>
        <v>1.9780197940638171E-2</v>
      </c>
      <c r="N423" s="4">
        <v>0.890729774293747</v>
      </c>
    </row>
    <row r="424" spans="1:14" x14ac:dyDescent="0.25">
      <c r="A424" s="1">
        <v>40301</v>
      </c>
      <c r="B424" s="2">
        <v>32832.449999999997</v>
      </c>
      <c r="C424" s="2">
        <v>12.239000000000001</v>
      </c>
      <c r="D424">
        <f>LN(Table1[[#This Row],[IPC_real]]/B425)</f>
        <v>4.4301204769076159E-3</v>
      </c>
      <c r="E424">
        <f>LN(Table1[[#This Row],[MXNUSD_real]]/C425)</f>
        <v>-3.6700281783744741E-3</v>
      </c>
      <c r="N424" s="4">
        <v>0.8874560060463782</v>
      </c>
    </row>
    <row r="425" spans="1:14" x14ac:dyDescent="0.25">
      <c r="A425" s="1">
        <v>40298</v>
      </c>
      <c r="B425" s="2">
        <v>32687.32</v>
      </c>
      <c r="C425" s="2">
        <v>12.284000000000001</v>
      </c>
      <c r="D425">
        <f>LN(Table1[[#This Row],[IPC_real]]/B426)</f>
        <v>-5.2993091645907788E-3</v>
      </c>
      <c r="E425">
        <f>LN(Table1[[#This Row],[MXNUSD_real]]/C426)</f>
        <v>8.7897379134029702E-3</v>
      </c>
      <c r="N425" s="4">
        <v>0.89747818366743504</v>
      </c>
    </row>
    <row r="426" spans="1:14" x14ac:dyDescent="0.25">
      <c r="A426" s="1">
        <v>40297</v>
      </c>
      <c r="B426" s="2">
        <v>32861</v>
      </c>
      <c r="C426" s="2">
        <v>12.176500000000001</v>
      </c>
      <c r="D426">
        <f>LN(Table1[[#This Row],[IPC_real]]/B427)</f>
        <v>-2.7915110784215063E-3</v>
      </c>
      <c r="E426">
        <f>LN(Table1[[#This Row],[MXNUSD_real]]/C427)</f>
        <v>-1.4633910391162269E-2</v>
      </c>
      <c r="N426" s="4">
        <v>0.89146448475246798</v>
      </c>
    </row>
    <row r="427" spans="1:14" x14ac:dyDescent="0.25">
      <c r="A427" s="1">
        <v>40296</v>
      </c>
      <c r="B427" s="2">
        <v>32952.86</v>
      </c>
      <c r="C427" s="2">
        <v>12.356</v>
      </c>
      <c r="D427">
        <f>LN(Table1[[#This Row],[IPC_real]]/B428)</f>
        <v>8.3343694041244122E-3</v>
      </c>
      <c r="E427">
        <f>LN(Table1[[#This Row],[MXNUSD_real]]/C428)</f>
        <v>3.1207596203541225E-3</v>
      </c>
      <c r="N427" s="4">
        <v>0.87048547768617768</v>
      </c>
    </row>
    <row r="428" spans="1:14" x14ac:dyDescent="0.25">
      <c r="A428" s="1">
        <v>40295</v>
      </c>
      <c r="B428" s="2">
        <v>32679.360000000001</v>
      </c>
      <c r="C428" s="2">
        <v>12.317500000000001</v>
      </c>
      <c r="D428">
        <f>LN(Table1[[#This Row],[IPC_real]]/B429)</f>
        <v>-3.287504611413563E-2</v>
      </c>
      <c r="E428">
        <f>LN(Table1[[#This Row],[MXNUSD_real]]/C429)</f>
        <v>1.5009585915875121E-2</v>
      </c>
      <c r="N428" s="4">
        <v>0.88040621481542525</v>
      </c>
    </row>
    <row r="429" spans="1:14" x14ac:dyDescent="0.25">
      <c r="A429" s="1">
        <v>40294</v>
      </c>
      <c r="B429" s="2">
        <v>33771.550000000003</v>
      </c>
      <c r="C429" s="2">
        <v>12.134</v>
      </c>
      <c r="D429">
        <f>LN(Table1[[#This Row],[IPC_real]]/B430)</f>
        <v>-2.4292716859802407E-3</v>
      </c>
      <c r="E429">
        <f>LN(Table1[[#This Row],[MXNUSD_real]]/C430)</f>
        <v>-4.588106947585398E-3</v>
      </c>
      <c r="N429" s="4">
        <v>0.87866617259080526</v>
      </c>
    </row>
    <row r="430" spans="1:14" x14ac:dyDescent="0.25">
      <c r="A430" s="1">
        <v>40291</v>
      </c>
      <c r="B430" s="2">
        <v>33853.69</v>
      </c>
      <c r="C430" s="2">
        <v>12.1898</v>
      </c>
      <c r="D430">
        <f>LN(Table1[[#This Row],[IPC_real]]/B431)</f>
        <v>5.7862415974902293E-3</v>
      </c>
      <c r="E430">
        <f>LN(Table1[[#This Row],[MXNUSD_real]]/C431)</f>
        <v>-2.2943683346957557E-3</v>
      </c>
      <c r="N430" s="4">
        <v>0.88867150583268906</v>
      </c>
    </row>
    <row r="431" spans="1:14" x14ac:dyDescent="0.25">
      <c r="A431" s="1">
        <v>40290</v>
      </c>
      <c r="B431" s="2">
        <v>33658.370000000003</v>
      </c>
      <c r="C431" s="2">
        <v>12.2178</v>
      </c>
      <c r="D431">
        <f>LN(Table1[[#This Row],[IPC_real]]/B432)</f>
        <v>4.2036189627646225E-3</v>
      </c>
      <c r="E431">
        <f>LN(Table1[[#This Row],[MXNUSD_real]]/C432)</f>
        <v>3.2053805650504811E-3</v>
      </c>
      <c r="N431" s="4">
        <v>0.88380057396630063</v>
      </c>
    </row>
    <row r="432" spans="1:14" x14ac:dyDescent="0.25">
      <c r="A432" s="1">
        <v>40289</v>
      </c>
      <c r="B432" s="2">
        <v>33517.18</v>
      </c>
      <c r="C432" s="2">
        <v>12.178699999999999</v>
      </c>
      <c r="D432">
        <f>LN(Table1[[#This Row],[IPC_real]]/B433)</f>
        <v>-8.7919326281338476E-3</v>
      </c>
      <c r="E432">
        <f>LN(Table1[[#This Row],[MXNUSD_real]]/C433)</f>
        <v>-3.9417395487660904E-3</v>
      </c>
      <c r="N432" s="4">
        <v>0.89219300354498399</v>
      </c>
    </row>
    <row r="433" spans="1:14" x14ac:dyDescent="0.25">
      <c r="A433" s="1">
        <v>40288</v>
      </c>
      <c r="B433" s="2">
        <v>33813.160000000003</v>
      </c>
      <c r="C433" s="2">
        <v>12.226800000000001</v>
      </c>
      <c r="D433">
        <f>LN(Table1[[#This Row],[IPC_real]]/B434)</f>
        <v>1.1104165622285214E-2</v>
      </c>
      <c r="E433">
        <f>LN(Table1[[#This Row],[MXNUSD_real]]/C434)</f>
        <v>-3.4454920229428148E-3</v>
      </c>
      <c r="N433" s="4">
        <v>0.88613645713821254</v>
      </c>
    </row>
    <row r="434" spans="1:14" x14ac:dyDescent="0.25">
      <c r="A434" s="1">
        <v>40287</v>
      </c>
      <c r="B434" s="2">
        <v>33439.769999999997</v>
      </c>
      <c r="C434" s="2">
        <v>12.269</v>
      </c>
      <c r="D434">
        <f>LN(Table1[[#This Row],[IPC_real]]/B435)</f>
        <v>-5.416561361229779E-3</v>
      </c>
      <c r="E434">
        <f>LN(Table1[[#This Row],[MXNUSD_real]]/C435)</f>
        <v>-1.0427359727409819E-3</v>
      </c>
      <c r="N434" s="4">
        <v>0.88099625404487925</v>
      </c>
    </row>
    <row r="435" spans="1:14" x14ac:dyDescent="0.25">
      <c r="A435" s="1">
        <v>40284</v>
      </c>
      <c r="B435" s="2">
        <v>33621.39</v>
      </c>
      <c r="C435" s="2">
        <v>12.2818</v>
      </c>
      <c r="D435">
        <f>LN(Table1[[#This Row],[IPC_real]]/B436)</f>
        <v>-1.5138221559863262E-2</v>
      </c>
      <c r="E435">
        <f>LN(Table1[[#This Row],[MXNUSD_real]]/C436)</f>
        <v>8.4135455652725368E-3</v>
      </c>
      <c r="N435" s="4">
        <v>0.88899295811032752</v>
      </c>
    </row>
    <row r="436" spans="1:14" x14ac:dyDescent="0.25">
      <c r="A436" s="1">
        <v>40283</v>
      </c>
      <c r="B436" s="2">
        <v>34134.230000000003</v>
      </c>
      <c r="C436" s="2">
        <v>12.178900000000001</v>
      </c>
      <c r="D436">
        <f>LN(Table1[[#This Row],[IPC_real]]/B437)</f>
        <v>5.9488785041743569E-4</v>
      </c>
      <c r="E436">
        <f>LN(Table1[[#This Row],[MXNUSD_real]]/C437)</f>
        <v>-4.5970596046697199E-4</v>
      </c>
      <c r="N436" s="4">
        <v>0.88818047971947411</v>
      </c>
    </row>
    <row r="437" spans="1:14" x14ac:dyDescent="0.25">
      <c r="A437" s="1">
        <v>40282</v>
      </c>
      <c r="B437" s="2">
        <v>34113.93</v>
      </c>
      <c r="C437" s="2">
        <v>12.1845</v>
      </c>
      <c r="D437">
        <f>LN(Table1[[#This Row],[IPC_real]]/B438)</f>
        <v>8.6818477762041976E-3</v>
      </c>
      <c r="E437">
        <f>LN(Table1[[#This Row],[MXNUSD_real]]/C438)</f>
        <v>-1.5592366337311689E-4</v>
      </c>
      <c r="N437" s="4">
        <v>0.88610308452313991</v>
      </c>
    </row>
    <row r="438" spans="1:14" x14ac:dyDescent="0.25">
      <c r="A438" s="1">
        <v>40281</v>
      </c>
      <c r="B438" s="2">
        <v>33819.040000000001</v>
      </c>
      <c r="C438" s="2">
        <v>12.186400000000001</v>
      </c>
      <c r="D438">
        <f>LN(Table1[[#This Row],[IPC_real]]/B439)</f>
        <v>-9.8564498193548337E-4</v>
      </c>
      <c r="E438">
        <f>LN(Table1[[#This Row],[MXNUSD_real]]/C439)</f>
        <v>1.691839333912359E-3</v>
      </c>
      <c r="N438" s="4">
        <v>0.88876716051714089</v>
      </c>
    </row>
    <row r="439" spans="1:14" x14ac:dyDescent="0.25">
      <c r="A439" s="1">
        <v>40280</v>
      </c>
      <c r="B439" s="2">
        <v>33852.39</v>
      </c>
      <c r="C439" s="2">
        <v>12.165800000000001</v>
      </c>
      <c r="D439">
        <f>LN(Table1[[#This Row],[IPC_real]]/B440)</f>
        <v>3.409498529481571E-4</v>
      </c>
      <c r="E439">
        <f>LN(Table1[[#This Row],[MXNUSD_real]]/C440)</f>
        <v>-2.3234917000257808E-3</v>
      </c>
      <c r="N439" s="4">
        <v>0.88859212889788597</v>
      </c>
    </row>
    <row r="440" spans="1:14" x14ac:dyDescent="0.25">
      <c r="A440" s="1">
        <v>40277</v>
      </c>
      <c r="B440" s="2">
        <v>33840.85</v>
      </c>
      <c r="C440" s="2">
        <v>12.194100000000001</v>
      </c>
      <c r="D440">
        <f>LN(Table1[[#This Row],[IPC_real]]/B441)</f>
        <v>8.1147842791620857E-3</v>
      </c>
      <c r="E440">
        <f>LN(Table1[[#This Row],[MXNUSD_real]]/C441)</f>
        <v>-2.3671945886579128E-3</v>
      </c>
      <c r="N440" s="4">
        <v>0.88772388646440925</v>
      </c>
    </row>
    <row r="441" spans="1:14" x14ac:dyDescent="0.25">
      <c r="A441" s="1">
        <v>40276</v>
      </c>
      <c r="B441" s="2">
        <v>33567.35</v>
      </c>
      <c r="C441" s="2">
        <v>12.223000000000001</v>
      </c>
      <c r="D441">
        <f>LN(Table1[[#This Row],[IPC_real]]/B442)</f>
        <v>-1.9345330491484691E-3</v>
      </c>
      <c r="E441">
        <f>LN(Table1[[#This Row],[MXNUSD_real]]/C442)</f>
        <v>-2.9001511249042303E-3</v>
      </c>
      <c r="N441" s="4">
        <v>0.88396196927582482</v>
      </c>
    </row>
    <row r="442" spans="1:14" x14ac:dyDescent="0.25">
      <c r="A442" s="1">
        <v>40275</v>
      </c>
      <c r="B442" s="2">
        <v>33632.35</v>
      </c>
      <c r="C442" s="2">
        <v>12.2585</v>
      </c>
      <c r="D442">
        <f>LN(Table1[[#This Row],[IPC_real]]/B443)</f>
        <v>-5.0081992689171035E-3</v>
      </c>
      <c r="E442">
        <f>LN(Table1[[#This Row],[MXNUSD_real]]/C443)</f>
        <v>3.2683773017629356E-3</v>
      </c>
      <c r="N442" s="4">
        <v>0.88750797288449124</v>
      </c>
    </row>
    <row r="443" spans="1:14" x14ac:dyDescent="0.25">
      <c r="A443" s="1">
        <v>40274</v>
      </c>
      <c r="B443" s="2">
        <v>33801.21</v>
      </c>
      <c r="C443" s="2">
        <v>12.218500000000001</v>
      </c>
      <c r="D443">
        <f>LN(Table1[[#This Row],[IPC_real]]/B444)</f>
        <v>4.5165317451559004E-3</v>
      </c>
      <c r="E443">
        <f>LN(Table1[[#This Row],[MXNUSD_real]]/C444)</f>
        <v>-4.0104439505645652E-3</v>
      </c>
      <c r="N443" s="4">
        <v>0.88739465653839855</v>
      </c>
    </row>
    <row r="444" spans="1:14" x14ac:dyDescent="0.25">
      <c r="A444" s="1">
        <v>40273</v>
      </c>
      <c r="B444" s="2">
        <v>33648.89</v>
      </c>
      <c r="C444" s="2">
        <v>12.2676</v>
      </c>
      <c r="D444">
        <f>LN(Table1[[#This Row],[IPC_real]]/B445)</f>
        <v>1.1431288524077448E-2</v>
      </c>
      <c r="E444">
        <f>LN(Table1[[#This Row],[MXNUSD_real]]/C445)</f>
        <v>-7.3177100025160072E-3</v>
      </c>
      <c r="N444" s="4">
        <v>0.88669327360136496</v>
      </c>
    </row>
    <row r="445" spans="1:14" x14ac:dyDescent="0.25">
      <c r="A445" s="1">
        <v>40268</v>
      </c>
      <c r="B445" s="2">
        <v>33266.43</v>
      </c>
      <c r="C445" s="2">
        <v>12.357699999999999</v>
      </c>
      <c r="D445">
        <f>LN(Table1[[#This Row],[IPC_real]]/B446)</f>
        <v>-3.9909517917404713E-3</v>
      </c>
      <c r="E445">
        <f>LN(Table1[[#This Row],[MXNUSD_real]]/C446)</f>
        <v>-3.3606688332880287E-3</v>
      </c>
      <c r="N445" s="4">
        <v>0.88819099191979078</v>
      </c>
    </row>
    <row r="446" spans="1:14" x14ac:dyDescent="0.25">
      <c r="A446" s="1">
        <v>40267</v>
      </c>
      <c r="B446" s="2">
        <v>33399.46</v>
      </c>
      <c r="C446" s="2">
        <v>12.3993</v>
      </c>
      <c r="D446">
        <f>LN(Table1[[#This Row],[IPC_real]]/B447)</f>
        <v>-4.9808758151603414E-4</v>
      </c>
      <c r="E446">
        <f>LN(Table1[[#This Row],[MXNUSD_real]]/C447)</f>
        <v>-3.0760830800754388E-3</v>
      </c>
      <c r="N446" s="4">
        <v>0.88820675713839603</v>
      </c>
    </row>
    <row r="447" spans="1:14" x14ac:dyDescent="0.25">
      <c r="A447" s="1">
        <v>40266</v>
      </c>
      <c r="B447" s="2">
        <v>33416.1</v>
      </c>
      <c r="C447" s="2">
        <v>12.4375</v>
      </c>
      <c r="D447">
        <f>LN(Table1[[#This Row],[IPC_real]]/B448)</f>
        <v>8.0611686676259463E-3</v>
      </c>
      <c r="E447">
        <f>LN(Table1[[#This Row],[MXNUSD_real]]/C448)</f>
        <v>-7.3777425298250992E-3</v>
      </c>
      <c r="N447" s="4">
        <v>0.8883980958392721</v>
      </c>
    </row>
    <row r="448" spans="1:14" x14ac:dyDescent="0.25">
      <c r="A448" s="1">
        <v>40263</v>
      </c>
      <c r="B448" s="2">
        <v>33147.81</v>
      </c>
      <c r="C448" s="2">
        <v>12.5296</v>
      </c>
      <c r="D448">
        <f>LN(Table1[[#This Row],[IPC_real]]/B449)</f>
        <v>-4.9824965207771125E-4</v>
      </c>
      <c r="E448">
        <f>LN(Table1[[#This Row],[MXNUSD_real]]/C449)</f>
        <v>7.1057036238887964E-4</v>
      </c>
      <c r="N448" s="4">
        <v>0.88607821101122741</v>
      </c>
    </row>
    <row r="449" spans="1:14" x14ac:dyDescent="0.25">
      <c r="A449" s="1">
        <v>40262</v>
      </c>
      <c r="B449" s="2">
        <v>33164.33</v>
      </c>
      <c r="C449" s="2">
        <v>12.5207</v>
      </c>
      <c r="D449">
        <f>LN(Table1[[#This Row],[IPC_real]]/B450)</f>
        <v>1.0131880301714794E-4</v>
      </c>
      <c r="E449">
        <f>LN(Table1[[#This Row],[MXNUSD_real]]/C450)</f>
        <v>-4.7249766201472414E-3</v>
      </c>
      <c r="N449" s="4">
        <v>0.88879127838784233</v>
      </c>
    </row>
    <row r="450" spans="1:14" x14ac:dyDescent="0.25">
      <c r="A450" s="1">
        <v>40261</v>
      </c>
      <c r="B450" s="2">
        <v>33160.97</v>
      </c>
      <c r="C450" s="2">
        <v>12.58</v>
      </c>
      <c r="D450">
        <f>LN(Table1[[#This Row],[IPC_real]]/B451)</f>
        <v>-6.0220643600470396E-3</v>
      </c>
      <c r="E450">
        <f>LN(Table1[[#This Row],[MXNUSD_real]]/C451)</f>
        <v>6.9717822652280749E-3</v>
      </c>
      <c r="N450" s="4">
        <v>0.88991951364875643</v>
      </c>
    </row>
    <row r="451" spans="1:14" x14ac:dyDescent="0.25">
      <c r="A451" s="1">
        <v>40260</v>
      </c>
      <c r="B451" s="2">
        <v>33361.269999999997</v>
      </c>
      <c r="C451" s="2">
        <v>12.492599999999999</v>
      </c>
      <c r="D451">
        <f>LN(Table1[[#This Row],[IPC_real]]/B452)</f>
        <v>6.5936826389812325E-3</v>
      </c>
      <c r="E451">
        <f>LN(Table1[[#This Row],[MXNUSD_real]]/C452)</f>
        <v>-3.9864083692045978E-3</v>
      </c>
      <c r="N451" s="4">
        <v>0.88856206477597455</v>
      </c>
    </row>
    <row r="452" spans="1:14" x14ac:dyDescent="0.25">
      <c r="A452" s="1">
        <v>40259</v>
      </c>
      <c r="B452" s="2">
        <v>33142.019999999997</v>
      </c>
      <c r="C452" s="2">
        <v>12.5425</v>
      </c>
      <c r="D452">
        <f>LN(Table1[[#This Row],[IPC_real]]/B453)</f>
        <v>3.6025203981286244E-3</v>
      </c>
      <c r="E452">
        <f>LN(Table1[[#This Row],[MXNUSD_real]]/C453)</f>
        <v>-2.2299216822057118E-3</v>
      </c>
      <c r="N452" s="4">
        <v>0.88846088595317996</v>
      </c>
    </row>
    <row r="453" spans="1:14" x14ac:dyDescent="0.25">
      <c r="A453" s="1">
        <v>40256</v>
      </c>
      <c r="B453" s="2">
        <v>33022.839999999997</v>
      </c>
      <c r="C453" s="2">
        <v>12.570499999999999</v>
      </c>
      <c r="D453">
        <f>LN(Table1[[#This Row],[IPC_real]]/B454)</f>
        <v>1.6065424054358818E-3</v>
      </c>
      <c r="E453">
        <f>LN(Table1[[#This Row],[MXNUSD_real]]/C454)</f>
        <v>5.1842515218360769E-3</v>
      </c>
      <c r="N453" s="4">
        <v>0.8899394050652516</v>
      </c>
    </row>
    <row r="454" spans="1:14" x14ac:dyDescent="0.25">
      <c r="A454" s="1">
        <v>40255</v>
      </c>
      <c r="B454" s="2">
        <v>32969.83</v>
      </c>
      <c r="C454" s="2">
        <v>12.5055</v>
      </c>
      <c r="D454">
        <f>LN(Table1[[#This Row],[IPC_real]]/B455)</f>
        <v>5.2162160891155327E-3</v>
      </c>
      <c r="E454">
        <f>LN(Table1[[#This Row],[MXNUSD_real]]/C455)</f>
        <v>4.5362819429713942E-3</v>
      </c>
      <c r="N454" s="4">
        <v>0.88706835116973948</v>
      </c>
    </row>
    <row r="455" spans="1:14" x14ac:dyDescent="0.25">
      <c r="A455" s="1">
        <v>40254</v>
      </c>
      <c r="B455" s="2">
        <v>32798.300000000003</v>
      </c>
      <c r="C455" s="2">
        <v>12.4489</v>
      </c>
      <c r="D455">
        <f>LN(Table1[[#This Row],[IPC_real]]/B456)</f>
        <v>2.2709869929814852E-3</v>
      </c>
      <c r="E455">
        <f>LN(Table1[[#This Row],[MXNUSD_real]]/C456)</f>
        <v>-6.2540492683855432E-3</v>
      </c>
      <c r="N455" s="4">
        <v>0.88904045536104925</v>
      </c>
    </row>
    <row r="456" spans="1:14" x14ac:dyDescent="0.25">
      <c r="A456" s="1">
        <v>40253</v>
      </c>
      <c r="B456" s="2">
        <v>32723.9</v>
      </c>
      <c r="C456" s="2">
        <v>12.526999999999999</v>
      </c>
      <c r="D456">
        <f>LN(Table1[[#This Row],[IPC_real]]/B457)</f>
        <v>4.4669490733344318E-3</v>
      </c>
      <c r="E456">
        <f>LN(Table1[[#This Row],[MXNUSD_real]]/C457)</f>
        <v>-9.5747234634597567E-4</v>
      </c>
      <c r="N456" s="4">
        <v>0.88457202667333557</v>
      </c>
    </row>
    <row r="457" spans="1:14" x14ac:dyDescent="0.25">
      <c r="A457" s="1">
        <v>40249</v>
      </c>
      <c r="B457" s="2">
        <v>32578.05</v>
      </c>
      <c r="C457" s="2">
        <v>12.539</v>
      </c>
      <c r="D457">
        <f>LN(Table1[[#This Row],[IPC_real]]/B458)</f>
        <v>-7.6371964309825677E-4</v>
      </c>
      <c r="E457">
        <f>LN(Table1[[#This Row],[MXNUSD_real]]/C458)</f>
        <v>-4.4323033367123449E-3</v>
      </c>
      <c r="N457" s="4">
        <v>0.88878284415373976</v>
      </c>
    </row>
    <row r="458" spans="1:14" x14ac:dyDescent="0.25">
      <c r="A458" s="1">
        <v>40248</v>
      </c>
      <c r="B458" s="2">
        <v>32602.94</v>
      </c>
      <c r="C458" s="2">
        <v>12.5947</v>
      </c>
      <c r="D458">
        <f>LN(Table1[[#This Row],[IPC_real]]/B459)</f>
        <v>2.9851639539997619E-3</v>
      </c>
      <c r="E458">
        <f>LN(Table1[[#This Row],[MXNUSD_real]]/C459)</f>
        <v>-1.5312176963464339E-3</v>
      </c>
      <c r="N458" s="4">
        <v>0.88815719938473681</v>
      </c>
    </row>
    <row r="459" spans="1:14" x14ac:dyDescent="0.25">
      <c r="A459" s="1">
        <v>40247</v>
      </c>
      <c r="B459" s="2">
        <v>32505.759999999998</v>
      </c>
      <c r="C459" s="2">
        <v>12.614000000000001</v>
      </c>
      <c r="D459">
        <f>LN(Table1[[#This Row],[IPC_real]]/B460)</f>
        <v>-2.5868991390489657E-4</v>
      </c>
      <c r="E459">
        <f>LN(Table1[[#This Row],[MXNUSD_real]]/C460)</f>
        <v>-1.433885083333438E-3</v>
      </c>
      <c r="N459" s="4">
        <v>0.88530986364636444</v>
      </c>
    </row>
    <row r="460" spans="1:14" x14ac:dyDescent="0.25">
      <c r="A460" s="1">
        <v>40246</v>
      </c>
      <c r="B460" s="2">
        <v>32514.17</v>
      </c>
      <c r="C460" s="2">
        <v>12.632099999999999</v>
      </c>
      <c r="D460">
        <f>LN(Table1[[#This Row],[IPC_real]]/B461)</f>
        <v>-1.8759291285944558E-4</v>
      </c>
      <c r="E460">
        <f>LN(Table1[[#This Row],[MXNUSD_real]]/C461)</f>
        <v>-2.8379353516003987E-3</v>
      </c>
      <c r="N460" s="4">
        <v>0.88557231194470787</v>
      </c>
    </row>
    <row r="461" spans="1:14" x14ac:dyDescent="0.25">
      <c r="A461" s="1">
        <v>40245</v>
      </c>
      <c r="B461" s="2">
        <v>32520.27</v>
      </c>
      <c r="C461" s="2">
        <v>12.667999999999999</v>
      </c>
      <c r="D461">
        <f>LN(Table1[[#This Row],[IPC_real]]/B462)</f>
        <v>2.5783304100716678E-3</v>
      </c>
      <c r="E461">
        <f>LN(Table1[[#This Row],[MXNUSD_real]]/C462)</f>
        <v>3.9477320792198996E-4</v>
      </c>
      <c r="N461" s="4">
        <v>0.88956361791729011</v>
      </c>
    </row>
    <row r="462" spans="1:14" x14ac:dyDescent="0.25">
      <c r="A462" s="1">
        <v>40242</v>
      </c>
      <c r="B462" s="2">
        <v>32436.53</v>
      </c>
      <c r="C462" s="2">
        <v>12.663</v>
      </c>
      <c r="D462">
        <f>LN(Table1[[#This Row],[IPC_real]]/B463)</f>
        <v>7.2566943953509058E-3</v>
      </c>
      <c r="E462">
        <f>LN(Table1[[#This Row],[MXNUSD_real]]/C463)</f>
        <v>-3.4293180891068861E-3</v>
      </c>
      <c r="N462" s="4">
        <v>0.88769243916823881</v>
      </c>
    </row>
    <row r="463" spans="1:14" x14ac:dyDescent="0.25">
      <c r="A463" s="1">
        <v>40241</v>
      </c>
      <c r="B463" s="2">
        <v>32202</v>
      </c>
      <c r="C463" s="2">
        <v>12.7065</v>
      </c>
      <c r="D463">
        <f>LN(Table1[[#This Row],[IPC_real]]/B464)</f>
        <v>-4.6948806671717122E-3</v>
      </c>
      <c r="E463">
        <f>LN(Table1[[#This Row],[MXNUSD_real]]/C464)</f>
        <v>4.7221041704945182E-5</v>
      </c>
      <c r="N463" s="4">
        <v>0.88893875610088591</v>
      </c>
    </row>
    <row r="464" spans="1:14" x14ac:dyDescent="0.25">
      <c r="A464" s="1">
        <v>40240</v>
      </c>
      <c r="B464" s="2">
        <v>32353.54</v>
      </c>
      <c r="C464" s="2">
        <v>12.7059</v>
      </c>
      <c r="D464">
        <f>LN(Table1[[#This Row],[IPC_real]]/B465)</f>
        <v>9.2690177962277305E-3</v>
      </c>
      <c r="E464">
        <f>LN(Table1[[#This Row],[MXNUSD_real]]/C465)</f>
        <v>-2.7979301008581327E-3</v>
      </c>
      <c r="N464" s="4">
        <v>0.88790320478133444</v>
      </c>
    </row>
    <row r="465" spans="1:14" x14ac:dyDescent="0.25">
      <c r="A465" s="1">
        <v>40239</v>
      </c>
      <c r="B465" s="2">
        <v>32055.040000000001</v>
      </c>
      <c r="C465" s="2">
        <v>12.7415</v>
      </c>
      <c r="D465">
        <f>LN(Table1[[#This Row],[IPC_real]]/B466)</f>
        <v>9.0849632183082271E-3</v>
      </c>
      <c r="E465">
        <f>LN(Table1[[#This Row],[MXNUSD_real]]/C466)</f>
        <v>7.8486775018704507E-5</v>
      </c>
      <c r="N465" s="4">
        <v>0.88786758937473254</v>
      </c>
    </row>
    <row r="466" spans="1:14" x14ac:dyDescent="0.25">
      <c r="A466" s="1">
        <v>40238</v>
      </c>
      <c r="B466" s="2">
        <v>31765.14</v>
      </c>
      <c r="C466" s="2">
        <v>12.740500000000001</v>
      </c>
      <c r="D466">
        <f>LN(Table1[[#This Row],[IPC_real]]/B467)</f>
        <v>4.1199004389004586E-3</v>
      </c>
      <c r="E466">
        <f>LN(Table1[[#This Row],[MXNUSD_real]]/C467)</f>
        <v>-2.8607837674732716E-3</v>
      </c>
      <c r="N466" s="4">
        <v>0.88837584690192428</v>
      </c>
    </row>
    <row r="467" spans="1:14" x14ac:dyDescent="0.25">
      <c r="A467" s="1">
        <v>40235</v>
      </c>
      <c r="B467" s="2">
        <v>31634.54</v>
      </c>
      <c r="C467" s="2">
        <v>12.776999999999999</v>
      </c>
      <c r="D467">
        <f>LN(Table1[[#This Row],[IPC_real]]/B468)</f>
        <v>-4.6015053043427126E-4</v>
      </c>
      <c r="E467">
        <f>LN(Table1[[#This Row],[MXNUSD_real]]/C468)</f>
        <v>-3.6717356980657452E-3</v>
      </c>
      <c r="N467" s="4">
        <v>0.88718780504755779</v>
      </c>
    </row>
    <row r="468" spans="1:14" x14ac:dyDescent="0.25">
      <c r="A468" s="1">
        <v>40234</v>
      </c>
      <c r="B468" s="2">
        <v>31649.1</v>
      </c>
      <c r="C468" s="2">
        <v>12.824</v>
      </c>
      <c r="D468">
        <f>LN(Table1[[#This Row],[IPC_real]]/B469)</f>
        <v>-4.3961353091986743E-3</v>
      </c>
      <c r="E468">
        <f>LN(Table1[[#This Row],[MXNUSD_real]]/C469)</f>
        <v>-1.9475719940917954E-3</v>
      </c>
      <c r="N468" s="4">
        <v>0.88858639962048125</v>
      </c>
    </row>
    <row r="469" spans="1:14" x14ac:dyDescent="0.25">
      <c r="A469" s="1">
        <v>40233</v>
      </c>
      <c r="B469" s="2">
        <v>31788.54</v>
      </c>
      <c r="C469" s="2">
        <v>12.849</v>
      </c>
      <c r="D469">
        <f>LN(Table1[[#This Row],[IPC_real]]/B470)</f>
        <v>-1.9390698354878656E-3</v>
      </c>
      <c r="E469">
        <f>LN(Table1[[#This Row],[MXNUSD_real]]/C470)</f>
        <v>-4.0388404416559212E-3</v>
      </c>
      <c r="N469" s="4">
        <v>0.88731856684839094</v>
      </c>
    </row>
    <row r="470" spans="1:14" x14ac:dyDescent="0.25">
      <c r="A470" s="1">
        <v>40232</v>
      </c>
      <c r="B470" s="2">
        <v>31850.240000000002</v>
      </c>
      <c r="C470" s="2">
        <v>12.901</v>
      </c>
      <c r="D470">
        <f>LN(Table1[[#This Row],[IPC_real]]/B471)</f>
        <v>-5.7635351010953241E-3</v>
      </c>
      <c r="E470">
        <f>LN(Table1[[#This Row],[MXNUSD_real]]/C471)</f>
        <v>7.1802002003638569E-3</v>
      </c>
      <c r="N470" s="4">
        <v>0.88836152846570193</v>
      </c>
    </row>
    <row r="471" spans="1:14" x14ac:dyDescent="0.25">
      <c r="A471" s="1">
        <v>40231</v>
      </c>
      <c r="B471" s="2">
        <v>32034.34</v>
      </c>
      <c r="C471" s="2">
        <v>12.8087</v>
      </c>
      <c r="D471">
        <f>LN(Table1[[#This Row],[IPC_real]]/B472)</f>
        <v>-4.2914757454970533E-3</v>
      </c>
      <c r="E471">
        <f>LN(Table1[[#This Row],[MXNUSD_real]]/C472)</f>
        <v>-3.0443420358221209E-4</v>
      </c>
      <c r="N471" s="4">
        <v>0.8873068336783273</v>
      </c>
    </row>
    <row r="472" spans="1:14" x14ac:dyDescent="0.25">
      <c r="A472" s="1">
        <v>40228</v>
      </c>
      <c r="B472" s="2">
        <v>32172.11</v>
      </c>
      <c r="C472" s="2">
        <v>12.8126</v>
      </c>
      <c r="D472">
        <f>LN(Table1[[#This Row],[IPC_real]]/B473)</f>
        <v>4.1030168058488531E-5</v>
      </c>
      <c r="E472">
        <f>LN(Table1[[#This Row],[MXNUSD_real]]/C473)</f>
        <v>-8.1137173076100539E-4</v>
      </c>
      <c r="N472" s="4">
        <v>0.88838402038760689</v>
      </c>
    </row>
    <row r="473" spans="1:14" x14ac:dyDescent="0.25">
      <c r="A473" s="1">
        <v>40227</v>
      </c>
      <c r="B473" s="2">
        <v>32170.79</v>
      </c>
      <c r="C473" s="2">
        <v>12.823</v>
      </c>
      <c r="D473">
        <f>LN(Table1[[#This Row],[IPC_real]]/B474)</f>
        <v>8.6999406578575234E-3</v>
      </c>
      <c r="E473">
        <f>LN(Table1[[#This Row],[MXNUSD_real]]/C474)</f>
        <v>-4.4352871992288188E-3</v>
      </c>
      <c r="N473" s="4">
        <v>0.88867210832171584</v>
      </c>
    </row>
    <row r="474" spans="1:14" x14ac:dyDescent="0.25">
      <c r="A474" s="1">
        <v>40226</v>
      </c>
      <c r="B474" s="2">
        <v>31892.12</v>
      </c>
      <c r="C474" s="2">
        <v>12.88</v>
      </c>
      <c r="D474">
        <f>LN(Table1[[#This Row],[IPC_real]]/B475)</f>
        <v>7.7860672622502352E-3</v>
      </c>
      <c r="E474">
        <f>LN(Table1[[#This Row],[MXNUSD_real]]/C475)</f>
        <v>1.9428799583548857E-3</v>
      </c>
      <c r="N474" s="4">
        <v>0.88805491171907924</v>
      </c>
    </row>
    <row r="475" spans="1:14" x14ac:dyDescent="0.25">
      <c r="A475" s="1">
        <v>40225</v>
      </c>
      <c r="B475" s="2">
        <v>31644.77</v>
      </c>
      <c r="C475" s="2">
        <v>12.855</v>
      </c>
      <c r="D475">
        <f>LN(Table1[[#This Row],[IPC_real]]/B476)</f>
        <v>1.9350319931092395E-2</v>
      </c>
      <c r="E475">
        <f>LN(Table1[[#This Row],[MXNUSD_real]]/C476)</f>
        <v>-6.7449959172215194E-3</v>
      </c>
      <c r="N475" s="4">
        <v>0.8888012384922368</v>
      </c>
    </row>
    <row r="476" spans="1:14" x14ac:dyDescent="0.25">
      <c r="A476" s="1">
        <v>40224</v>
      </c>
      <c r="B476" s="2">
        <v>31038.32</v>
      </c>
      <c r="C476" s="2">
        <v>12.942</v>
      </c>
      <c r="D476">
        <f>LN(Table1[[#This Row],[IPC_real]]/B477)</f>
        <v>1.0502215037038465E-3</v>
      </c>
      <c r="E476">
        <f>LN(Table1[[#This Row],[MXNUSD_real]]/C477)</f>
        <v>8.6577414888171808E-4</v>
      </c>
      <c r="N476" s="4">
        <v>0.88448466753346444</v>
      </c>
    </row>
    <row r="477" spans="1:14" x14ac:dyDescent="0.25">
      <c r="A477" s="1">
        <v>40221</v>
      </c>
      <c r="B477" s="2">
        <v>31005.74</v>
      </c>
      <c r="C477" s="2">
        <v>12.9308</v>
      </c>
      <c r="D477">
        <f>LN(Table1[[#This Row],[IPC_real]]/B478)</f>
        <v>5.177261478046335E-3</v>
      </c>
      <c r="E477">
        <f>LN(Table1[[#This Row],[MXNUSD_real]]/C478)</f>
        <v>-2.1398809987190027E-3</v>
      </c>
      <c r="N477" s="4">
        <v>0.88745012371011189</v>
      </c>
    </row>
    <row r="478" spans="1:14" x14ac:dyDescent="0.25">
      <c r="A478" s="1">
        <v>40220</v>
      </c>
      <c r="B478" s="2">
        <v>30845.63</v>
      </c>
      <c r="C478" s="2">
        <v>12.958500000000001</v>
      </c>
      <c r="D478">
        <f>LN(Table1[[#This Row],[IPC_real]]/B479)</f>
        <v>3.2335564402991169E-3</v>
      </c>
      <c r="E478">
        <f>LN(Table1[[#This Row],[MXNUSD_real]]/C479)</f>
        <v>-9.263592837357967E-3</v>
      </c>
      <c r="N478" s="4">
        <v>0.88763845154301535</v>
      </c>
    </row>
    <row r="479" spans="1:14" x14ac:dyDescent="0.25">
      <c r="A479" s="1">
        <v>40219</v>
      </c>
      <c r="B479" s="2">
        <v>30746.05</v>
      </c>
      <c r="C479" s="2">
        <v>13.0791</v>
      </c>
      <c r="D479">
        <f>LN(Table1[[#This Row],[IPC_real]]/B480)</f>
        <v>-2.3529793346089927E-3</v>
      </c>
      <c r="E479">
        <f>LN(Table1[[#This Row],[MXNUSD_real]]/C480)</f>
        <v>7.6458152542192767E-6</v>
      </c>
      <c r="N479" s="4">
        <v>0.88893979549001334</v>
      </c>
    </row>
    <row r="480" spans="1:14" x14ac:dyDescent="0.25">
      <c r="A480" s="1">
        <v>40218</v>
      </c>
      <c r="B480" s="2">
        <v>30818.48</v>
      </c>
      <c r="C480" s="2">
        <v>13.079000000000001</v>
      </c>
      <c r="D480">
        <f>LN(Table1[[#This Row],[IPC_real]]/B481)</f>
        <v>5.5001186355365149E-3</v>
      </c>
      <c r="E480">
        <f>LN(Table1[[#This Row],[MXNUSD_real]]/C481)</f>
        <v>-7.6926385673457285E-3</v>
      </c>
      <c r="N480" s="4">
        <v>0.88659636453308732</v>
      </c>
    </row>
    <row r="481" spans="1:14" x14ac:dyDescent="0.25">
      <c r="A481" s="1">
        <v>40217</v>
      </c>
      <c r="B481" s="2">
        <v>30649.439999999999</v>
      </c>
      <c r="C481" s="2">
        <v>13.18</v>
      </c>
      <c r="D481">
        <f>LN(Table1[[#This Row],[IPC_real]]/B482)</f>
        <v>6.1063801165631105E-4</v>
      </c>
      <c r="E481">
        <f>LN(Table1[[#This Row],[MXNUSD_real]]/C482)</f>
        <v>-2.2735894598728554E-3</v>
      </c>
      <c r="N481" s="4">
        <v>0.88972870100780688</v>
      </c>
    </row>
    <row r="482" spans="1:14" x14ac:dyDescent="0.25">
      <c r="A482" s="1">
        <v>40214</v>
      </c>
      <c r="B482" s="2">
        <v>30630.73</v>
      </c>
      <c r="C482" s="2">
        <v>13.21</v>
      </c>
      <c r="D482">
        <f>LN(Table1[[#This Row],[IPC_real]]/B483)</f>
        <v>8.825099650998714E-4</v>
      </c>
      <c r="E482">
        <f>LN(Table1[[#This Row],[MXNUSD_real]]/C483)</f>
        <v>9.1255386124254566E-3</v>
      </c>
      <c r="N482" s="4">
        <v>0.88700941995834559</v>
      </c>
    </row>
    <row r="483" spans="1:14" x14ac:dyDescent="0.25">
      <c r="A483" s="1">
        <v>40213</v>
      </c>
      <c r="B483" s="2">
        <v>30603.71</v>
      </c>
      <c r="C483" s="2">
        <v>13.09</v>
      </c>
      <c r="D483">
        <f>LN(Table1[[#This Row],[IPC_real]]/B484)</f>
        <v>-2.208271085343675E-2</v>
      </c>
      <c r="E483">
        <f>LN(Table1[[#This Row],[MXNUSD_real]]/C484)</f>
        <v>9.7494343039028018E-3</v>
      </c>
      <c r="N483" s="4">
        <v>0.88812463196400293</v>
      </c>
    </row>
    <row r="484" spans="1:14" x14ac:dyDescent="0.25">
      <c r="A484" s="1">
        <v>40212</v>
      </c>
      <c r="B484" s="2">
        <v>31287.040000000001</v>
      </c>
      <c r="C484" s="2">
        <v>12.962999999999999</v>
      </c>
      <c r="D484">
        <f>LN(Table1[[#This Row],[IPC_real]]/B485)</f>
        <v>1.3203719476887844E-2</v>
      </c>
      <c r="E484">
        <f>LN(Table1[[#This Row],[MXNUSD_real]]/C485)</f>
        <v>7.9618748298315115E-3</v>
      </c>
      <c r="N484" s="4">
        <v>0.89055372679471489</v>
      </c>
    </row>
    <row r="485" spans="1:14" x14ac:dyDescent="0.25">
      <c r="A485" s="1">
        <v>40211</v>
      </c>
      <c r="B485" s="2">
        <v>30876.65</v>
      </c>
      <c r="C485" s="2">
        <v>12.860200000000001</v>
      </c>
      <c r="D485">
        <f>LN(Table1[[#This Row],[IPC_real]]/B486)</f>
        <v>1.5833651337059062E-2</v>
      </c>
      <c r="E485">
        <f>LN(Table1[[#This Row],[MXNUSD_real]]/C486)</f>
        <v>-1.2925237013158427E-2</v>
      </c>
      <c r="N485" s="4">
        <v>0.88733340980648556</v>
      </c>
    </row>
    <row r="486" spans="1:14" x14ac:dyDescent="0.25">
      <c r="A486" s="1">
        <v>40207</v>
      </c>
      <c r="B486" s="2">
        <v>30391.61</v>
      </c>
      <c r="C486" s="2">
        <v>13.0275</v>
      </c>
      <c r="D486">
        <f>LN(Table1[[#This Row],[IPC_real]]/B487)</f>
        <v>-1.3716545112499786E-2</v>
      </c>
      <c r="E486">
        <f>LN(Table1[[#This Row],[MXNUSD_real]]/C487)</f>
        <v>-1.4573907619069622E-3</v>
      </c>
      <c r="N486" s="4">
        <v>0.89004340352379974</v>
      </c>
    </row>
    <row r="487" spans="1:14" x14ac:dyDescent="0.25">
      <c r="A487" s="1">
        <v>40206</v>
      </c>
      <c r="B487" s="2">
        <v>30811.35</v>
      </c>
      <c r="C487" s="2">
        <v>13.0465</v>
      </c>
      <c r="D487">
        <f>LN(Table1[[#This Row],[IPC_real]]/B488)</f>
        <v>6.5292606796956013E-3</v>
      </c>
      <c r="E487">
        <f>LN(Table1[[#This Row],[MXNUSD_real]]/C488)</f>
        <v>3.6936255992657996E-3</v>
      </c>
      <c r="N487" s="4">
        <v>0.88817297639507498</v>
      </c>
    </row>
    <row r="488" spans="1:14" x14ac:dyDescent="0.25">
      <c r="A488" s="1">
        <v>40205</v>
      </c>
      <c r="B488" s="2">
        <v>30610.83</v>
      </c>
      <c r="C488" s="2">
        <v>12.9984</v>
      </c>
      <c r="D488">
        <f>LN(Table1[[#This Row],[IPC_real]]/B489)</f>
        <v>-1.3296904022564436E-3</v>
      </c>
      <c r="E488">
        <f>LN(Table1[[#This Row],[MXNUSD_real]]/C489)</f>
        <v>1.3211582149421924E-2</v>
      </c>
      <c r="N488" s="4">
        <v>0.88365572845821405</v>
      </c>
    </row>
    <row r="489" spans="1:14" x14ac:dyDescent="0.25">
      <c r="A489" s="1">
        <v>40204</v>
      </c>
      <c r="B489" s="2">
        <v>30651.56</v>
      </c>
      <c r="C489" s="2">
        <v>12.8278</v>
      </c>
      <c r="D489">
        <f>LN(Table1[[#This Row],[IPC_real]]/B490)</f>
        <v>6.1031051420700286E-3</v>
      </c>
      <c r="E489">
        <f>LN(Table1[[#This Row],[MXNUSD_real]]/C490)</f>
        <v>-2.6780864585560435E-3</v>
      </c>
      <c r="N489" s="4">
        <v>0.88338465672197664</v>
      </c>
    </row>
    <row r="490" spans="1:14" x14ac:dyDescent="0.25">
      <c r="A490" s="1">
        <v>40203</v>
      </c>
      <c r="B490" s="2">
        <v>30465.06</v>
      </c>
      <c r="C490" s="2">
        <v>12.8622</v>
      </c>
      <c r="D490">
        <f>LN(Table1[[#This Row],[IPC_real]]/B491)</f>
        <v>-1.1937304995273972E-2</v>
      </c>
      <c r="E490">
        <f>LN(Table1[[#This Row],[MXNUSD_real]]/C491)</f>
        <v>-4.7545822280727111E-3</v>
      </c>
      <c r="N490" s="4">
        <v>0.88415453179975412</v>
      </c>
    </row>
    <row r="491" spans="1:14" x14ac:dyDescent="0.25">
      <c r="A491" s="1">
        <v>40200</v>
      </c>
      <c r="B491" s="2">
        <v>30830.91</v>
      </c>
      <c r="C491" s="2">
        <v>12.923500000000001</v>
      </c>
      <c r="D491">
        <f>LN(Table1[[#This Row],[IPC_real]]/B492)</f>
        <v>-1.2070194016770579E-2</v>
      </c>
      <c r="E491">
        <f>LN(Table1[[#This Row],[MXNUSD_real]]/C492)</f>
        <v>2.5955425499845624E-3</v>
      </c>
      <c r="N491" s="4">
        <v>0.89168889744856694</v>
      </c>
    </row>
    <row r="492" spans="1:14" x14ac:dyDescent="0.25">
      <c r="A492" s="1">
        <v>40199</v>
      </c>
      <c r="B492" s="2">
        <v>31205.3</v>
      </c>
      <c r="C492" s="2">
        <v>12.89</v>
      </c>
      <c r="D492">
        <f>LN(Table1[[#This Row],[IPC_real]]/B493)</f>
        <v>-2.5939512248410904E-2</v>
      </c>
      <c r="E492">
        <f>LN(Table1[[#This Row],[MXNUSD_real]]/C493)</f>
        <v>9.9327980355733026E-3</v>
      </c>
      <c r="N492" s="4">
        <v>0.88787619566580755</v>
      </c>
    </row>
    <row r="493" spans="1:14" x14ac:dyDescent="0.25">
      <c r="A493" s="1">
        <v>40198</v>
      </c>
      <c r="B493" s="2">
        <v>32025.34</v>
      </c>
      <c r="C493" s="2">
        <v>12.762600000000001</v>
      </c>
      <c r="D493">
        <f>LN(Table1[[#This Row],[IPC_real]]/B494)</f>
        <v>-1.3883050132302401E-2</v>
      </c>
      <c r="E493">
        <f>LN(Table1[[#This Row],[MXNUSD_real]]/C494)</f>
        <v>9.0515450618974102E-3</v>
      </c>
      <c r="N493" s="4">
        <v>0.88590965829330659</v>
      </c>
    </row>
    <row r="494" spans="1:14" x14ac:dyDescent="0.25">
      <c r="A494" s="1">
        <v>40197</v>
      </c>
      <c r="B494" s="2">
        <v>32473.05</v>
      </c>
      <c r="C494" s="2">
        <v>12.647600000000001</v>
      </c>
      <c r="D494">
        <f>LN(Table1[[#This Row],[IPC_real]]/B495)</f>
        <v>-2.9804892102474961E-4</v>
      </c>
      <c r="E494">
        <f>LN(Table1[[#This Row],[MXNUSD_real]]/C495)</f>
        <v>-1.3748096000130417E-3</v>
      </c>
      <c r="N494" s="4">
        <v>0.88183358807633516</v>
      </c>
    </row>
    <row r="495" spans="1:14" x14ac:dyDescent="0.25">
      <c r="A495" s="1">
        <v>40196</v>
      </c>
      <c r="B495" s="2">
        <v>32482.73</v>
      </c>
      <c r="C495" s="2">
        <v>12.664999999999999</v>
      </c>
      <c r="D495">
        <f>LN(Table1[[#This Row],[IPC_real]]/B496)</f>
        <v>6.8091976075667108E-3</v>
      </c>
      <c r="E495">
        <f>LN(Table1[[#This Row],[MXNUSD_real]]/C496)</f>
        <v>-3.2713901039397556E-3</v>
      </c>
      <c r="N495" s="4">
        <v>0.88831857763301758</v>
      </c>
    </row>
    <row r="496" spans="1:14" x14ac:dyDescent="0.25">
      <c r="A496" s="1">
        <v>40193</v>
      </c>
      <c r="B496" s="2">
        <v>32262.3</v>
      </c>
      <c r="C496" s="2">
        <v>12.7065</v>
      </c>
      <c r="D496">
        <f>LN(Table1[[#This Row],[IPC_real]]/B497)</f>
        <v>-1.4379890288876774E-2</v>
      </c>
      <c r="E496">
        <f>LN(Table1[[#This Row],[MXNUSD_real]]/C497)</f>
        <v>-8.6532415720475518E-4</v>
      </c>
      <c r="N496" s="4">
        <v>0.88905071476461572</v>
      </c>
    </row>
    <row r="497" spans="1:14" x14ac:dyDescent="0.25">
      <c r="A497" s="1">
        <v>40192</v>
      </c>
      <c r="B497" s="2">
        <v>32729.58</v>
      </c>
      <c r="C497" s="2">
        <v>12.717499999999999</v>
      </c>
      <c r="D497">
        <f>LN(Table1[[#This Row],[IPC_real]]/B498)</f>
        <v>-3.2486546666220428E-3</v>
      </c>
      <c r="E497">
        <f>LN(Table1[[#This Row],[MXNUSD_real]]/C498)</f>
        <v>-5.5027121897910684E-4</v>
      </c>
      <c r="N497" s="4">
        <v>0.88634259384240599</v>
      </c>
    </row>
    <row r="498" spans="1:14" x14ac:dyDescent="0.25">
      <c r="A498" s="1">
        <v>40191</v>
      </c>
      <c r="B498" s="2">
        <v>32836.080000000002</v>
      </c>
      <c r="C498" s="2">
        <v>12.724500000000001</v>
      </c>
      <c r="D498">
        <f>LN(Table1[[#This Row],[IPC_real]]/B499)</f>
        <v>1.3232009736952306E-3</v>
      </c>
      <c r="E498">
        <f>LN(Table1[[#This Row],[MXNUSD_real]]/C499)</f>
        <v>-2.8173564539270318E-3</v>
      </c>
      <c r="N498" s="4">
        <v>0.88330450278245753</v>
      </c>
    </row>
    <row r="499" spans="1:14" x14ac:dyDescent="0.25">
      <c r="A499" s="1">
        <v>40190</v>
      </c>
      <c r="B499" s="2">
        <v>32792.660000000003</v>
      </c>
      <c r="C499" s="2">
        <v>12.760400000000001</v>
      </c>
      <c r="D499">
        <f>LN(Table1[[#This Row],[IPC_real]]/B500)</f>
        <v>-4.3427500440293637E-3</v>
      </c>
      <c r="E499">
        <f>LN(Table1[[#This Row],[MXNUSD_real]]/C500)</f>
        <v>1.0506755869050353E-3</v>
      </c>
      <c r="N499" s="4">
        <v>0.88368770834773558</v>
      </c>
    </row>
    <row r="500" spans="1:14" x14ac:dyDescent="0.25">
      <c r="A500" s="1">
        <v>40189</v>
      </c>
      <c r="B500" s="2">
        <v>32935.379999999997</v>
      </c>
      <c r="C500" s="2">
        <v>12.747</v>
      </c>
      <c r="D500">
        <f>LN(Table1[[#This Row],[IPC_real]]/B501)</f>
        <v>1.3167766946438622E-3</v>
      </c>
      <c r="E500">
        <f>LN(Table1[[#This Row],[MXNUSD_real]]/C501)</f>
        <v>2.4742280663512788E-3</v>
      </c>
      <c r="N500" s="4">
        <v>0.88784594498085612</v>
      </c>
    </row>
    <row r="501" spans="1:14" x14ac:dyDescent="0.25">
      <c r="A501" s="1">
        <v>40186</v>
      </c>
      <c r="B501" s="2">
        <v>32892.04</v>
      </c>
      <c r="C501" s="2">
        <v>12.7155</v>
      </c>
      <c r="D501">
        <f>LN(Table1[[#This Row],[IPC_real]]/B502)</f>
        <v>-5.2316331452385099E-3</v>
      </c>
      <c r="E501">
        <f>LN(Table1[[#This Row],[MXNUSD_real]]/C502)</f>
        <v>-3.2584188217200053E-3</v>
      </c>
      <c r="N501" s="4">
        <v>0.88853037531290457</v>
      </c>
    </row>
    <row r="502" spans="1:14" x14ac:dyDescent="0.25">
      <c r="A502" s="1">
        <v>40185</v>
      </c>
      <c r="B502" s="2">
        <v>33064.57</v>
      </c>
      <c r="C502" s="2">
        <v>12.757</v>
      </c>
      <c r="D502">
        <f>LN(Table1[[#This Row],[IPC_real]]/B503)</f>
        <v>7.1147112614745843E-3</v>
      </c>
      <c r="E502">
        <f>LN(Table1[[#This Row],[MXNUSD_real]]/C503)</f>
        <v>1.5689969485305911E-3</v>
      </c>
      <c r="N502" s="4">
        <v>0.88765840327140921</v>
      </c>
    </row>
    <row r="503" spans="1:14" x14ac:dyDescent="0.25">
      <c r="A503" s="1">
        <v>40184</v>
      </c>
      <c r="B503" s="2">
        <v>32830.160000000003</v>
      </c>
      <c r="C503" s="2">
        <v>12.737</v>
      </c>
      <c r="D503">
        <f>LN(Table1[[#This Row],[IPC_real]]/B504)</f>
        <v>2.9711938288858142E-3</v>
      </c>
      <c r="E503">
        <f>LN(Table1[[#This Row],[MXNUSD_real]]/C504)</f>
        <v>-7.4309075165363376E-3</v>
      </c>
      <c r="N503" s="4">
        <v>0.88754164698947202</v>
      </c>
    </row>
    <row r="504" spans="1:14" x14ac:dyDescent="0.25">
      <c r="A504" s="1">
        <v>40183</v>
      </c>
      <c r="B504" s="2">
        <v>32732.76</v>
      </c>
      <c r="C504" s="2">
        <v>12.832000000000001</v>
      </c>
      <c r="D504">
        <f>LN(Table1[[#This Row],[IPC_real]]/B505)</f>
        <v>-7.8697491926053799E-4</v>
      </c>
      <c r="E504">
        <f>LN(Table1[[#This Row],[MXNUSD_real]]/C505)</f>
        <v>-4.5097658269372771E-3</v>
      </c>
      <c r="N504" s="4">
        <v>0.88836848261962509</v>
      </c>
    </row>
    <row r="505" spans="1:14" x14ac:dyDescent="0.25">
      <c r="A505" s="1">
        <v>40182</v>
      </c>
      <c r="B505" s="2">
        <v>32758.53</v>
      </c>
      <c r="C505" s="2">
        <v>12.89</v>
      </c>
      <c r="D505">
        <f>LN(Table1[[#This Row],[IPC_real]]/B506)</f>
        <v>1.9669864584076394E-2</v>
      </c>
      <c r="E505">
        <f>LN(Table1[[#This Row],[MXNUSD_real]]/C506)</f>
        <v>-1.4250192999890495E-2</v>
      </c>
      <c r="N505" s="4">
        <v>0.88693901980618028</v>
      </c>
    </row>
    <row r="506" spans="1:14" x14ac:dyDescent="0.25">
      <c r="A506" s="1">
        <v>40178</v>
      </c>
      <c r="B506" s="2">
        <v>32120.47</v>
      </c>
      <c r="C506" s="2">
        <v>13.074999999999999</v>
      </c>
      <c r="D506">
        <f>LN(Table1[[#This Row],[IPC_real]]/B507)</f>
        <v>-1.0168091829441204E-2</v>
      </c>
      <c r="E506">
        <f>LN(Table1[[#This Row],[MXNUSD_real]]/C507)</f>
        <v>1.913876182283976E-3</v>
      </c>
      <c r="N506" s="4">
        <v>0.88638996350116184</v>
      </c>
    </row>
    <row r="507" spans="1:14" x14ac:dyDescent="0.25">
      <c r="A507" s="1">
        <v>40177</v>
      </c>
      <c r="B507" s="2">
        <v>32448.74</v>
      </c>
      <c r="C507" s="2">
        <v>13.05</v>
      </c>
      <c r="D507">
        <f>LN(Table1[[#This Row],[IPC_real]]/B508)</f>
        <v>-5.4567916624556007E-3</v>
      </c>
      <c r="E507">
        <f>LN(Table1[[#This Row],[MXNUSD_real]]/C508)</f>
        <v>1.2268058585138018E-3</v>
      </c>
      <c r="N507" s="4">
        <v>0.88852576721961818</v>
      </c>
    </row>
    <row r="508" spans="1:14" x14ac:dyDescent="0.25">
      <c r="A508" s="1">
        <v>40176</v>
      </c>
      <c r="B508" s="2">
        <v>32626.29</v>
      </c>
      <c r="C508" s="2">
        <v>13.034000000000001</v>
      </c>
      <c r="D508">
        <f>LN(Table1[[#This Row],[IPC_real]]/B509)</f>
        <v>4.8377603768920045E-4</v>
      </c>
      <c r="E508">
        <f>LN(Table1[[#This Row],[MXNUSD_real]]/C509)</f>
        <v>3.6894738238936985E-3</v>
      </c>
      <c r="N508" s="4">
        <v>0.88674055273414953</v>
      </c>
    </row>
    <row r="509" spans="1:14" x14ac:dyDescent="0.25">
      <c r="A509" s="1">
        <v>40175</v>
      </c>
      <c r="B509" s="2">
        <v>32610.51</v>
      </c>
      <c r="C509" s="2">
        <v>12.986000000000001</v>
      </c>
      <c r="D509">
        <f>LN(Table1[[#This Row],[IPC_real]]/B510)</f>
        <v>1.9024227089052084E-3</v>
      </c>
      <c r="E509">
        <f>LN(Table1[[#This Row],[MXNUSD_real]]/C510)</f>
        <v>8.6620804558708939E-3</v>
      </c>
      <c r="N509" s="4">
        <v>0.88995700359904584</v>
      </c>
    </row>
    <row r="510" spans="1:14" x14ac:dyDescent="0.25">
      <c r="A510" s="1">
        <v>40171</v>
      </c>
      <c r="B510" s="2">
        <v>32548.53</v>
      </c>
      <c r="C510" s="2">
        <v>12.874000000000001</v>
      </c>
      <c r="D510">
        <f>LN(Table1[[#This Row],[IPC_real]]/B511)</f>
        <v>3.0246753920465134E-3</v>
      </c>
      <c r="E510">
        <f>LN(Table1[[#This Row],[MXNUSD_real]]/C511)</f>
        <v>-3.8762743318275956E-3</v>
      </c>
      <c r="N510" s="4">
        <v>0.88896572214274183</v>
      </c>
    </row>
    <row r="511" spans="1:14" x14ac:dyDescent="0.25">
      <c r="A511" s="1">
        <v>40170</v>
      </c>
      <c r="B511" s="2">
        <v>32450.23</v>
      </c>
      <c r="C511" s="2">
        <v>12.923999999999999</v>
      </c>
      <c r="D511">
        <f>LN(Table1[[#This Row],[IPC_real]]/B512)</f>
        <v>6.4896878049250832E-3</v>
      </c>
      <c r="E511">
        <f>LN(Table1[[#This Row],[MXNUSD_real]]/C512)</f>
        <v>3.7209345256901541E-3</v>
      </c>
      <c r="N511" s="4">
        <v>0.89208119981506551</v>
      </c>
    </row>
    <row r="512" spans="1:14" x14ac:dyDescent="0.25">
      <c r="A512" s="1">
        <v>40169</v>
      </c>
      <c r="B512" s="2">
        <v>32240.32</v>
      </c>
      <c r="C512" s="2">
        <v>12.875999999999999</v>
      </c>
      <c r="D512">
        <f>LN(Table1[[#This Row],[IPC_real]]/B513)</f>
        <v>1.3775767490988716E-2</v>
      </c>
      <c r="E512">
        <f>LN(Table1[[#This Row],[MXNUSD_real]]/C513)</f>
        <v>-3.3339825416025203E-3</v>
      </c>
      <c r="N512" s="4">
        <v>0.8866075807220275</v>
      </c>
    </row>
    <row r="513" spans="1:14" x14ac:dyDescent="0.25">
      <c r="A513" s="1">
        <v>40168</v>
      </c>
      <c r="B513" s="2">
        <v>31799.23</v>
      </c>
      <c r="C513" s="2">
        <v>12.919</v>
      </c>
      <c r="D513">
        <f>LN(Table1[[#This Row],[IPC_real]]/B514)</f>
        <v>-1.0950242555807679E-3</v>
      </c>
      <c r="E513">
        <f>LN(Table1[[#This Row],[MXNUSD_real]]/C514)</f>
        <v>4.1886502444567764E-3</v>
      </c>
      <c r="N513" s="4">
        <v>0.88687176413945457</v>
      </c>
    </row>
    <row r="514" spans="1:14" x14ac:dyDescent="0.25">
      <c r="A514" s="1">
        <v>40165</v>
      </c>
      <c r="B514" s="2">
        <v>31834.07</v>
      </c>
      <c r="C514" s="2">
        <v>12.865</v>
      </c>
      <c r="D514">
        <f>LN(Table1[[#This Row],[IPC_real]]/B515)</f>
        <v>-3.5853144149220265E-3</v>
      </c>
      <c r="E514">
        <f>LN(Table1[[#This Row],[MXNUSD_real]]/C515)</f>
        <v>-5.0511919944066315E-4</v>
      </c>
      <c r="N514" s="4">
        <v>0.88591130937107765</v>
      </c>
    </row>
    <row r="515" spans="1:14" x14ac:dyDescent="0.25">
      <c r="A515" s="1">
        <v>40164</v>
      </c>
      <c r="B515" s="2">
        <v>31948.41</v>
      </c>
      <c r="C515" s="2">
        <v>12.871499999999999</v>
      </c>
      <c r="D515">
        <f>LN(Table1[[#This Row],[IPC_real]]/B516)</f>
        <v>-2.4536551917602118E-4</v>
      </c>
      <c r="E515">
        <f>LN(Table1[[#This Row],[MXNUSD_real]]/C516)</f>
        <v>1.1604185772584773E-2</v>
      </c>
      <c r="N515" s="4">
        <v>0.88385544526649573</v>
      </c>
    </row>
    <row r="516" spans="1:14" x14ac:dyDescent="0.25">
      <c r="A516" s="1">
        <v>40163</v>
      </c>
      <c r="B516" s="2">
        <v>31956.25</v>
      </c>
      <c r="C516" s="2">
        <v>12.723000000000001</v>
      </c>
      <c r="D516">
        <f>LN(Table1[[#This Row],[IPC_real]]/B517)</f>
        <v>1.6802686745068746E-3</v>
      </c>
      <c r="E516">
        <f>LN(Table1[[#This Row],[MXNUSD_real]]/C517)</f>
        <v>4.5690957069250389E-3</v>
      </c>
      <c r="N516" s="4">
        <v>0.88874415375469384</v>
      </c>
    </row>
    <row r="517" spans="1:14" x14ac:dyDescent="0.25">
      <c r="A517" s="1">
        <v>40162</v>
      </c>
      <c r="B517" s="2">
        <v>31902.6</v>
      </c>
      <c r="C517" s="2">
        <v>12.664999999999999</v>
      </c>
      <c r="D517">
        <f>LN(Table1[[#This Row],[IPC_real]]/B518)</f>
        <v>-3.3570939745883491E-3</v>
      </c>
      <c r="E517">
        <f>LN(Table1[[#This Row],[MXNUSD_real]]/C518)</f>
        <v>-6.1398177765036597E-3</v>
      </c>
      <c r="N517" s="4">
        <v>0.88589879539121175</v>
      </c>
    </row>
    <row r="518" spans="1:14" x14ac:dyDescent="0.25">
      <c r="A518" s="1">
        <v>40161</v>
      </c>
      <c r="B518" s="2">
        <v>32009.88</v>
      </c>
      <c r="C518" s="2">
        <v>12.743</v>
      </c>
      <c r="D518">
        <f>LN(Table1[[#This Row],[IPC_real]]/B519)</f>
        <v>3.3856187023162919E-3</v>
      </c>
      <c r="E518">
        <f>LN(Table1[[#This Row],[MXNUSD_real]]/C519)</f>
        <v>-9.8392172813856274E-3</v>
      </c>
      <c r="N518" s="4">
        <v>0.88855259744422488</v>
      </c>
    </row>
    <row r="519" spans="1:14" x14ac:dyDescent="0.25">
      <c r="A519" s="1">
        <v>40158</v>
      </c>
      <c r="B519" s="2">
        <v>31901.69</v>
      </c>
      <c r="C519" s="2">
        <v>12.869</v>
      </c>
      <c r="D519">
        <f>LN(Table1[[#This Row],[IPC_real]]/B520)</f>
        <v>-4.6726417368073717E-4</v>
      </c>
      <c r="E519">
        <f>LN(Table1[[#This Row],[MXNUSD_real]]/C520)</f>
        <v>-5.5019705612267353E-3</v>
      </c>
      <c r="N519" s="4">
        <v>0.88571202232793855</v>
      </c>
    </row>
    <row r="520" spans="1:14" x14ac:dyDescent="0.25">
      <c r="A520" s="1">
        <v>40157</v>
      </c>
      <c r="B520" s="2">
        <v>31916.6</v>
      </c>
      <c r="C520" s="2">
        <v>12.94</v>
      </c>
      <c r="D520">
        <f>LN(Table1[[#This Row],[IPC_real]]/B521)</f>
        <v>7.749759208094069E-3</v>
      </c>
      <c r="E520">
        <f>LN(Table1[[#This Row],[MXNUSD_real]]/C521)</f>
        <v>1.3533109846972529E-3</v>
      </c>
      <c r="N520" s="4">
        <v>0.887524864718228</v>
      </c>
    </row>
    <row r="521" spans="1:14" x14ac:dyDescent="0.25">
      <c r="A521" s="1">
        <v>40156</v>
      </c>
      <c r="B521" s="2">
        <v>31670.21</v>
      </c>
      <c r="C521" s="2">
        <v>12.922499999999999</v>
      </c>
      <c r="D521">
        <f>LN(Table1[[#This Row],[IPC_real]]/B522)</f>
        <v>-1.2678960244190648E-3</v>
      </c>
      <c r="E521">
        <f>LN(Table1[[#This Row],[MXNUSD_real]]/C522)</f>
        <v>-1.9344230643562839E-4</v>
      </c>
      <c r="N521" s="4">
        <v>0.88256364903371609</v>
      </c>
    </row>
    <row r="522" spans="1:14" x14ac:dyDescent="0.25">
      <c r="A522" s="1">
        <v>40155</v>
      </c>
      <c r="B522" s="2">
        <v>31710.39</v>
      </c>
      <c r="C522" s="2">
        <v>12.925000000000001</v>
      </c>
      <c r="D522">
        <f>LN(Table1[[#This Row],[IPC_real]]/B523)</f>
        <v>-1.1749542180554556E-2</v>
      </c>
      <c r="E522">
        <f>LN(Table1[[#This Row],[MXNUSD_real]]/C523)</f>
        <v>2.0794995739801665E-2</v>
      </c>
      <c r="N522" s="4">
        <v>0.88555908504909953</v>
      </c>
    </row>
    <row r="523" spans="1:14" x14ac:dyDescent="0.25">
      <c r="A523" s="1">
        <v>40154</v>
      </c>
      <c r="B523" s="2">
        <v>32085.17</v>
      </c>
      <c r="C523" s="2">
        <v>12.659000000000001</v>
      </c>
      <c r="D523">
        <f>LN(Table1[[#This Row],[IPC_real]]/B524)</f>
        <v>-6.2999919828629896E-4</v>
      </c>
      <c r="E523">
        <f>LN(Table1[[#This Row],[MXNUSD_real]]/C524)</f>
        <v>-1.5392208268337111E-3</v>
      </c>
      <c r="N523" s="4">
        <v>0.88952500618238262</v>
      </c>
    </row>
    <row r="524" spans="1:14" x14ac:dyDescent="0.25">
      <c r="A524" s="1">
        <v>40151</v>
      </c>
      <c r="B524" s="2">
        <v>32105.39</v>
      </c>
      <c r="C524" s="2">
        <v>12.6785</v>
      </c>
      <c r="D524">
        <f>LN(Table1[[#This Row],[IPC_real]]/B525)</f>
        <v>4.3063568359336226E-3</v>
      </c>
      <c r="E524">
        <f>LN(Table1[[#This Row],[MXNUSD_real]]/C525)</f>
        <v>8.4752982565914174E-3</v>
      </c>
      <c r="N524" s="4">
        <v>0.89073719091784642</v>
      </c>
    </row>
    <row r="525" spans="1:14" x14ac:dyDescent="0.25">
      <c r="A525" s="1">
        <v>40150</v>
      </c>
      <c r="B525" s="2">
        <v>31967.43</v>
      </c>
      <c r="C525" s="2">
        <v>12.5715</v>
      </c>
      <c r="D525">
        <f>LN(Table1[[#This Row],[IPC_real]]/B526)</f>
        <v>-4.5056804443882881E-3</v>
      </c>
      <c r="E525">
        <f>LN(Table1[[#This Row],[MXNUSD_real]]/C526)</f>
        <v>-1.3902826722240256E-2</v>
      </c>
      <c r="N525" s="4">
        <v>0.88930800755937878</v>
      </c>
    </row>
    <row r="526" spans="1:14" x14ac:dyDescent="0.25">
      <c r="A526" s="1">
        <v>40149</v>
      </c>
      <c r="B526" s="2">
        <v>32111.79</v>
      </c>
      <c r="C526" s="2">
        <v>12.7475</v>
      </c>
      <c r="D526">
        <f>LN(Table1[[#This Row],[IPC_real]]/B527)</f>
        <v>1.1312259532855327E-2</v>
      </c>
      <c r="E526">
        <f>LN(Table1[[#This Row],[MXNUSD_real]]/C527)</f>
        <v>-8.7087813411280777E-3</v>
      </c>
      <c r="N526" s="4">
        <v>0.88682334032520305</v>
      </c>
    </row>
    <row r="527" spans="1:14" x14ac:dyDescent="0.25">
      <c r="A527" s="1">
        <v>40148</v>
      </c>
      <c r="B527" s="2">
        <v>31750.58</v>
      </c>
      <c r="C527" s="2">
        <v>12.859</v>
      </c>
      <c r="D527">
        <f>LN(Table1[[#This Row],[IPC_real]]/B528)</f>
        <v>2.5308294777119676E-2</v>
      </c>
      <c r="E527">
        <f>LN(Table1[[#This Row],[MXNUSD_real]]/C528)</f>
        <v>-8.2094637023257984E-3</v>
      </c>
      <c r="N527" s="4">
        <v>0.88740868202332046</v>
      </c>
    </row>
    <row r="528" spans="1:14" x14ac:dyDescent="0.25">
      <c r="A528" s="1">
        <v>40147</v>
      </c>
      <c r="B528" s="2">
        <v>30957.11</v>
      </c>
      <c r="C528" s="2">
        <v>12.965</v>
      </c>
      <c r="D528">
        <f>LN(Table1[[#This Row],[IPC_real]]/B529)</f>
        <v>5.8854038893241759E-3</v>
      </c>
      <c r="E528">
        <f>LN(Table1[[#This Row],[MXNUSD_real]]/C529)</f>
        <v>2.0460562661298834E-3</v>
      </c>
      <c r="N528" s="4">
        <v>0.87814977204832978</v>
      </c>
    </row>
    <row r="529" spans="1:14" x14ac:dyDescent="0.25">
      <c r="A529" s="1">
        <v>40144</v>
      </c>
      <c r="B529" s="2">
        <v>30775.45</v>
      </c>
      <c r="C529" s="2">
        <v>12.938499999999999</v>
      </c>
      <c r="D529">
        <f>LN(Table1[[#This Row],[IPC_real]]/B530)</f>
        <v>1.0702566973275223E-2</v>
      </c>
      <c r="E529">
        <f>LN(Table1[[#This Row],[MXNUSD_real]]/C530)</f>
        <v>-4.934283940592637E-3</v>
      </c>
      <c r="N529" s="4">
        <v>0.88790613070476454</v>
      </c>
    </row>
    <row r="530" spans="1:14" x14ac:dyDescent="0.25">
      <c r="A530" s="1">
        <v>40143</v>
      </c>
      <c r="B530" s="2">
        <v>30447.83</v>
      </c>
      <c r="C530" s="2">
        <v>13.0025</v>
      </c>
      <c r="D530">
        <f>LN(Table1[[#This Row],[IPC_real]]/B531)</f>
        <v>-2.9647286466730226E-2</v>
      </c>
      <c r="E530">
        <f>LN(Table1[[#This Row],[MXNUSD_real]]/C531)</f>
        <v>1.1720017340086344E-2</v>
      </c>
      <c r="N530" s="4">
        <v>0.88393553909722422</v>
      </c>
    </row>
    <row r="531" spans="1:14" x14ac:dyDescent="0.25">
      <c r="A531" s="1">
        <v>40142</v>
      </c>
      <c r="B531" s="2">
        <v>31364.04</v>
      </c>
      <c r="C531" s="2">
        <v>12.851000000000001</v>
      </c>
      <c r="D531">
        <f>LN(Table1[[#This Row],[IPC_real]]/B532)</f>
        <v>1.2901690573724752E-2</v>
      </c>
      <c r="E531">
        <f>LN(Table1[[#This Row],[MXNUSD_real]]/C532)</f>
        <v>-4.3094311087454725E-3</v>
      </c>
      <c r="N531" s="4">
        <v>0.89197928810136506</v>
      </c>
    </row>
    <row r="532" spans="1:14" x14ac:dyDescent="0.25">
      <c r="A532" s="1">
        <v>40141</v>
      </c>
      <c r="B532" s="2">
        <v>30961.99</v>
      </c>
      <c r="C532" s="2">
        <v>12.906499999999999</v>
      </c>
      <c r="D532">
        <f>LN(Table1[[#This Row],[IPC_real]]/B533)</f>
        <v>-5.2886212981477611E-3</v>
      </c>
      <c r="E532">
        <f>LN(Table1[[#This Row],[MXNUSD_real]]/C533)</f>
        <v>-4.9850359247864085E-3</v>
      </c>
      <c r="N532" s="4">
        <v>0.89037511012952553</v>
      </c>
    </row>
    <row r="533" spans="1:14" x14ac:dyDescent="0.25">
      <c r="A533" s="1">
        <v>40140</v>
      </c>
      <c r="B533" s="2">
        <v>31126.17</v>
      </c>
      <c r="C533" s="2">
        <v>12.971</v>
      </c>
      <c r="D533">
        <f>LN(Table1[[#This Row],[IPC_real]]/B534)</f>
        <v>1.4877764767588435E-2</v>
      </c>
      <c r="E533">
        <f>LN(Table1[[#This Row],[MXNUSD_real]]/C534)</f>
        <v>-7.2208026140397619E-3</v>
      </c>
      <c r="N533" s="4">
        <v>0.89021285469434985</v>
      </c>
    </row>
    <row r="534" spans="1:14" x14ac:dyDescent="0.25">
      <c r="A534" s="1">
        <v>40137</v>
      </c>
      <c r="B534" s="2">
        <v>30666.51</v>
      </c>
      <c r="C534" s="2">
        <v>13.065</v>
      </c>
      <c r="D534">
        <f>LN(Table1[[#This Row],[IPC_real]]/B535)</f>
        <v>-4.9170471023252992E-3</v>
      </c>
      <c r="E534">
        <f>LN(Table1[[#This Row],[MXNUSD_real]]/C535)</f>
        <v>1.1487652038733585E-3</v>
      </c>
      <c r="N534" s="4">
        <v>0.88655642259618339</v>
      </c>
    </row>
    <row r="535" spans="1:14" x14ac:dyDescent="0.25">
      <c r="A535" s="1">
        <v>40136</v>
      </c>
      <c r="B535" s="2">
        <v>30817.67</v>
      </c>
      <c r="C535" s="2">
        <v>13.05</v>
      </c>
      <c r="D535">
        <f>LN(Table1[[#This Row],[IPC_real]]/B536)</f>
        <v>-7.7237633889388028E-3</v>
      </c>
      <c r="E535">
        <f>LN(Table1[[#This Row],[MXNUSD_real]]/C536)</f>
        <v>3.4542348680876036E-3</v>
      </c>
      <c r="N535" s="4">
        <v>0.88911287732517197</v>
      </c>
    </row>
    <row r="536" spans="1:14" x14ac:dyDescent="0.25">
      <c r="A536" s="1">
        <v>40135</v>
      </c>
      <c r="B536" s="2">
        <v>31056.62</v>
      </c>
      <c r="C536" s="2">
        <v>13.005000000000001</v>
      </c>
      <c r="D536">
        <f>LN(Table1[[#This Row],[IPC_real]]/B537)</f>
        <v>-1.1002272157181468E-2</v>
      </c>
      <c r="E536">
        <f>LN(Table1[[#This Row],[MXNUSD_real]]/C537)</f>
        <v>-3.8756020191765411E-3</v>
      </c>
      <c r="N536" s="4">
        <v>0.88251161851839877</v>
      </c>
    </row>
    <row r="537" spans="1:14" x14ac:dyDescent="0.25">
      <c r="A537" s="1">
        <v>40134</v>
      </c>
      <c r="B537" s="2">
        <v>31400.2</v>
      </c>
      <c r="C537" s="2">
        <v>13.0555</v>
      </c>
      <c r="D537">
        <f>LN(Table1[[#This Row],[IPC_real]]/B538)</f>
        <v>1.275964075327223E-2</v>
      </c>
      <c r="E537">
        <f>LN(Table1[[#This Row],[MXNUSD_real]]/C538)</f>
        <v>-8.8046708721765791E-4</v>
      </c>
      <c r="N537" s="4">
        <v>0.88889590960796172</v>
      </c>
    </row>
    <row r="538" spans="1:14" x14ac:dyDescent="0.25">
      <c r="A538" s="1">
        <v>40130</v>
      </c>
      <c r="B538" s="2">
        <v>31002.09</v>
      </c>
      <c r="C538" s="2">
        <v>13.067</v>
      </c>
      <c r="D538">
        <f>LN(Table1[[#This Row],[IPC_real]]/B539)</f>
        <v>7.8443534047881423E-3</v>
      </c>
      <c r="E538">
        <f>LN(Table1[[#This Row],[MXNUSD_real]]/C539)</f>
        <v>-8.8381527688237531E-3</v>
      </c>
      <c r="N538" s="4">
        <v>0.88913039914683811</v>
      </c>
    </row>
    <row r="539" spans="1:14" x14ac:dyDescent="0.25">
      <c r="A539" s="1">
        <v>40129</v>
      </c>
      <c r="B539" s="2">
        <v>30759.85</v>
      </c>
      <c r="C539" s="2">
        <v>13.183</v>
      </c>
      <c r="D539">
        <f>LN(Table1[[#This Row],[IPC_real]]/B540)</f>
        <v>-1.0921663898846173E-2</v>
      </c>
      <c r="E539">
        <f>LN(Table1[[#This Row],[MXNUSD_real]]/C540)</f>
        <v>2.8866625939882734E-3</v>
      </c>
      <c r="N539" s="4">
        <v>0.88988736006525548</v>
      </c>
    </row>
    <row r="540" spans="1:14" x14ac:dyDescent="0.25">
      <c r="A540" s="1">
        <v>40128</v>
      </c>
      <c r="B540" s="2">
        <v>31097.64</v>
      </c>
      <c r="C540" s="2">
        <v>13.145</v>
      </c>
      <c r="D540">
        <f>LN(Table1[[#This Row],[IPC_real]]/B541)</f>
        <v>1.0000432373071385E-2</v>
      </c>
      <c r="E540">
        <f>LN(Table1[[#This Row],[MXNUSD_real]]/C541)</f>
        <v>-7.4276527629827654E-3</v>
      </c>
      <c r="N540" s="4">
        <v>0.88690158760804383</v>
      </c>
    </row>
    <row r="541" spans="1:14" x14ac:dyDescent="0.25">
      <c r="A541" s="1">
        <v>40127</v>
      </c>
      <c r="B541" s="2">
        <v>30788.2</v>
      </c>
      <c r="C541" s="2">
        <v>13.243</v>
      </c>
      <c r="D541">
        <f>LN(Table1[[#This Row],[IPC_real]]/B542)</f>
        <v>4.6215201984541468E-3</v>
      </c>
      <c r="E541">
        <f>LN(Table1[[#This Row],[MXNUSD_real]]/C542)</f>
        <v>-8.3028272120781613E-4</v>
      </c>
      <c r="N541" s="4">
        <v>0.88600468299198198</v>
      </c>
    </row>
    <row r="542" spans="1:14" x14ac:dyDescent="0.25">
      <c r="A542" s="1">
        <v>40126</v>
      </c>
      <c r="B542" s="2">
        <v>30646.240000000002</v>
      </c>
      <c r="C542" s="2">
        <v>13.254</v>
      </c>
      <c r="D542">
        <f>LN(Table1[[#This Row],[IPC_real]]/B543)</f>
        <v>2.5701548530049034E-2</v>
      </c>
      <c r="E542">
        <f>LN(Table1[[#This Row],[MXNUSD_real]]/C543)</f>
        <v>-9.8352833062807007E-3</v>
      </c>
      <c r="N542" s="4">
        <v>0.88874391734904989</v>
      </c>
    </row>
    <row r="543" spans="1:14" x14ac:dyDescent="0.25">
      <c r="A543" s="1">
        <v>40123</v>
      </c>
      <c r="B543" s="2">
        <v>29868.62</v>
      </c>
      <c r="C543" s="2">
        <v>13.385</v>
      </c>
      <c r="D543">
        <f>LN(Table1[[#This Row],[IPC_real]]/B544)</f>
        <v>4.4721935300599674E-3</v>
      </c>
      <c r="E543">
        <f>LN(Table1[[#This Row],[MXNUSD_real]]/C544)</f>
        <v>5.2059067779691767E-3</v>
      </c>
      <c r="N543" s="4">
        <v>0.88766399999639756</v>
      </c>
    </row>
    <row r="544" spans="1:14" x14ac:dyDescent="0.25">
      <c r="A544" s="1">
        <v>40122</v>
      </c>
      <c r="B544" s="2">
        <v>29735.34</v>
      </c>
      <c r="C544" s="2">
        <v>13.3155</v>
      </c>
      <c r="D544">
        <f>LN(Table1[[#This Row],[IPC_real]]/B545)</f>
        <v>1.0304346078732958E-2</v>
      </c>
      <c r="E544">
        <f>LN(Table1[[#This Row],[MXNUSD_real]]/C545)</f>
        <v>7.8886576469423277E-4</v>
      </c>
      <c r="N544" s="4">
        <v>0.89041691722026606</v>
      </c>
    </row>
    <row r="545" spans="1:14" x14ac:dyDescent="0.25">
      <c r="A545" s="1">
        <v>40121</v>
      </c>
      <c r="B545" s="2">
        <v>29430.51</v>
      </c>
      <c r="C545" s="2">
        <v>13.305</v>
      </c>
      <c r="D545">
        <f>LN(Table1[[#This Row],[IPC_real]]/B546)</f>
        <v>1.8656494851795317E-2</v>
      </c>
      <c r="E545">
        <f>LN(Table1[[#This Row],[MXNUSD_real]]/C546)</f>
        <v>3.6141896129399361E-3</v>
      </c>
      <c r="N545" s="4">
        <v>0.8862285473241277</v>
      </c>
    </row>
    <row r="546" spans="1:14" x14ac:dyDescent="0.25">
      <c r="A546" s="1">
        <v>40120</v>
      </c>
      <c r="B546" s="2">
        <v>28886.53</v>
      </c>
      <c r="C546" s="2">
        <v>13.257</v>
      </c>
      <c r="D546">
        <f>LN(Table1[[#This Row],[IPC_real]]/B547)</f>
        <v>8.3605318755386963E-3</v>
      </c>
      <c r="E546">
        <f>LN(Table1[[#This Row],[MXNUSD_real]]/C547)</f>
        <v>2.3789306036581174E-3</v>
      </c>
      <c r="N546" s="4">
        <v>0.88995592668769452</v>
      </c>
    </row>
    <row r="547" spans="1:14" x14ac:dyDescent="0.25">
      <c r="A547" s="1">
        <v>40116</v>
      </c>
      <c r="B547" s="2">
        <v>28646.03</v>
      </c>
      <c r="C547" s="2">
        <v>13.2255</v>
      </c>
      <c r="D547">
        <f>LN(Table1[[#This Row],[IPC_real]]/B548)</f>
        <v>-2.0790518267850149E-2</v>
      </c>
      <c r="E547">
        <f>LN(Table1[[#This Row],[MXNUSD_real]]/C548)</f>
        <v>1.3167097910484062E-2</v>
      </c>
      <c r="N547" s="4">
        <v>0.88764544687419589</v>
      </c>
    </row>
    <row r="548" spans="1:14" x14ac:dyDescent="0.25">
      <c r="A548" s="1">
        <v>40115</v>
      </c>
      <c r="B548" s="2">
        <v>29247.83</v>
      </c>
      <c r="C548" s="2">
        <v>13.0525</v>
      </c>
      <c r="D548">
        <f>LN(Table1[[#This Row],[IPC_real]]/B549)</f>
        <v>1.9922711790400137E-2</v>
      </c>
      <c r="E548">
        <f>LN(Table1[[#This Row],[MXNUSD_real]]/C549)</f>
        <v>-1.8408338392412682E-2</v>
      </c>
      <c r="N548" s="4">
        <v>0.89073594346213325</v>
      </c>
    </row>
    <row r="549" spans="1:14" x14ac:dyDescent="0.25">
      <c r="A549" s="1">
        <v>40114</v>
      </c>
      <c r="B549" s="2">
        <v>28670.9</v>
      </c>
      <c r="C549" s="2">
        <v>13.295</v>
      </c>
      <c r="D549">
        <f>LN(Table1[[#This Row],[IPC_real]]/B550)</f>
        <v>-2.2142974185140933E-2</v>
      </c>
      <c r="E549">
        <f>LN(Table1[[#This Row],[MXNUSD_real]]/C550)</f>
        <v>4.3343137674582838E-3</v>
      </c>
      <c r="N549" s="4">
        <v>0.88530104672531773</v>
      </c>
    </row>
    <row r="550" spans="1:14" x14ac:dyDescent="0.25">
      <c r="A550" s="1">
        <v>40113</v>
      </c>
      <c r="B550" s="2">
        <v>29312.84</v>
      </c>
      <c r="C550" s="2">
        <v>13.237500000000001</v>
      </c>
      <c r="D550">
        <f>LN(Table1[[#This Row],[IPC_real]]/B551)</f>
        <v>-3.2464425287333933E-2</v>
      </c>
      <c r="E550">
        <f>LN(Table1[[#This Row],[MXNUSD_real]]/C551)</f>
        <v>-3.2054331207628474E-3</v>
      </c>
      <c r="N550" s="4">
        <v>0.88703864067471982</v>
      </c>
    </row>
    <row r="551" spans="1:14" x14ac:dyDescent="0.25">
      <c r="A551" s="1">
        <v>40112</v>
      </c>
      <c r="B551" s="2">
        <v>30280.080000000002</v>
      </c>
      <c r="C551" s="2">
        <v>13.28</v>
      </c>
      <c r="D551">
        <f>LN(Table1[[#This Row],[IPC_real]]/B552)</f>
        <v>-1.1087549313113428E-2</v>
      </c>
      <c r="E551">
        <f>LN(Table1[[#This Row],[MXNUSD_real]]/C552)</f>
        <v>1.5939616412157159E-2</v>
      </c>
      <c r="N551" s="4">
        <v>0.88594122967290467</v>
      </c>
    </row>
    <row r="552" spans="1:14" x14ac:dyDescent="0.25">
      <c r="A552" s="1">
        <v>40109</v>
      </c>
      <c r="B552" s="2">
        <v>30617.68</v>
      </c>
      <c r="C552" s="2">
        <v>13.07</v>
      </c>
      <c r="D552">
        <f>LN(Table1[[#This Row],[IPC_real]]/B553)</f>
        <v>-4.6947402789556869E-3</v>
      </c>
      <c r="E552">
        <f>LN(Table1[[#This Row],[MXNUSD_real]]/C553)</f>
        <v>1.1775254386252152E-2</v>
      </c>
      <c r="N552" s="4">
        <v>0.88642711026928711</v>
      </c>
    </row>
    <row r="553" spans="1:14" x14ac:dyDescent="0.25">
      <c r="A553" s="1">
        <v>40108</v>
      </c>
      <c r="B553" s="2">
        <v>30761.759999999998</v>
      </c>
      <c r="C553" s="2">
        <v>12.917</v>
      </c>
      <c r="D553">
        <f>LN(Table1[[#This Row],[IPC_real]]/B554)</f>
        <v>-4.1293920024003004E-3</v>
      </c>
      <c r="E553">
        <f>LN(Table1[[#This Row],[MXNUSD_real]]/C554)</f>
        <v>-1.3925423881140553E-3</v>
      </c>
      <c r="N553" s="4">
        <v>0.88185402617160202</v>
      </c>
    </row>
    <row r="554" spans="1:14" x14ac:dyDescent="0.25">
      <c r="A554" s="1">
        <v>40107</v>
      </c>
      <c r="B554" s="2">
        <v>30889.05</v>
      </c>
      <c r="C554" s="2">
        <v>12.935</v>
      </c>
      <c r="D554">
        <f>LN(Table1[[#This Row],[IPC_real]]/B555)</f>
        <v>-3.6157744379178404E-3</v>
      </c>
      <c r="E554">
        <f>LN(Table1[[#This Row],[MXNUSD_real]]/C555)</f>
        <v>-4.8202156377413841E-3</v>
      </c>
      <c r="N554" s="4">
        <v>0.89324993256507124</v>
      </c>
    </row>
    <row r="555" spans="1:14" x14ac:dyDescent="0.25">
      <c r="A555" s="1">
        <v>40106</v>
      </c>
      <c r="B555" s="2">
        <v>31000.94</v>
      </c>
      <c r="C555" s="2">
        <v>12.9975</v>
      </c>
      <c r="D555">
        <f>LN(Table1[[#This Row],[IPC_real]]/B556)</f>
        <v>2.3843810673397593E-3</v>
      </c>
      <c r="E555">
        <f>LN(Table1[[#This Row],[MXNUSD_real]]/C556)</f>
        <v>4.2324785641171224E-4</v>
      </c>
      <c r="N555" s="4">
        <v>0.88565357390607946</v>
      </c>
    </row>
    <row r="556" spans="1:14" x14ac:dyDescent="0.25">
      <c r="A556" s="1">
        <v>40105</v>
      </c>
      <c r="B556" s="2">
        <v>30927.11</v>
      </c>
      <c r="C556" s="2">
        <v>12.992000000000001</v>
      </c>
      <c r="D556">
        <f>LN(Table1[[#This Row],[IPC_real]]/B557)</f>
        <v>6.5141801599040228E-3</v>
      </c>
      <c r="E556">
        <f>LN(Table1[[#This Row],[MXNUSD_real]]/C557)</f>
        <v>-8.2784467877836526E-3</v>
      </c>
      <c r="N556" s="4">
        <v>0.88850693347917176</v>
      </c>
    </row>
    <row r="557" spans="1:14" x14ac:dyDescent="0.25">
      <c r="A557" s="1">
        <v>40102</v>
      </c>
      <c r="B557" s="2">
        <v>30726.3</v>
      </c>
      <c r="C557" s="2">
        <v>13.1</v>
      </c>
      <c r="D557">
        <f>LN(Table1[[#This Row],[IPC_real]]/B558)</f>
        <v>-9.4400110974263481E-3</v>
      </c>
      <c r="E557">
        <f>LN(Table1[[#This Row],[MXNUSD_real]]/C558)</f>
        <v>1.1456942249965564E-3</v>
      </c>
      <c r="N557" s="4">
        <v>0.88055445514940089</v>
      </c>
    </row>
    <row r="558" spans="1:14" x14ac:dyDescent="0.25">
      <c r="A558" s="1">
        <v>40101</v>
      </c>
      <c r="B558" s="2">
        <v>31017.73</v>
      </c>
      <c r="C558" s="2">
        <v>13.085000000000001</v>
      </c>
      <c r="D558">
        <f>LN(Table1[[#This Row],[IPC_real]]/B559)</f>
        <v>4.4146301924601122E-3</v>
      </c>
      <c r="E558">
        <f>LN(Table1[[#This Row],[MXNUSD_real]]/C559)</f>
        <v>1.0705001786944261E-3</v>
      </c>
      <c r="N558" s="4">
        <v>0.88248677499144079</v>
      </c>
    </row>
    <row r="559" spans="1:14" x14ac:dyDescent="0.25">
      <c r="A559" s="1">
        <v>40100</v>
      </c>
      <c r="B559" s="2">
        <v>30881.1</v>
      </c>
      <c r="C559" s="2">
        <v>13.071</v>
      </c>
      <c r="D559">
        <f>LN(Table1[[#This Row],[IPC_real]]/B560)</f>
        <v>8.7816580035161972E-3</v>
      </c>
      <c r="E559">
        <f>LN(Table1[[#This Row],[MXNUSD_real]]/C560)</f>
        <v>-7.773244444275346E-3</v>
      </c>
      <c r="N559" s="4">
        <v>0.88785244422359888</v>
      </c>
    </row>
    <row r="560" spans="1:14" x14ac:dyDescent="0.25">
      <c r="A560" s="1">
        <v>40099</v>
      </c>
      <c r="B560" s="2">
        <v>30611.1</v>
      </c>
      <c r="C560" s="2">
        <v>13.173</v>
      </c>
      <c r="D560">
        <f>LN(Table1[[#This Row],[IPC_real]]/B561)</f>
        <v>4.4419030863170929E-3</v>
      </c>
      <c r="E560">
        <f>LN(Table1[[#This Row],[MXNUSD_real]]/C561)</f>
        <v>-4.9222014490409418E-3</v>
      </c>
      <c r="N560" s="4">
        <v>0.88907344071977623</v>
      </c>
    </row>
    <row r="561" spans="1:14" x14ac:dyDescent="0.25">
      <c r="A561" s="1">
        <v>40098</v>
      </c>
      <c r="B561" s="2">
        <v>30475.43</v>
      </c>
      <c r="C561" s="2">
        <v>13.238</v>
      </c>
      <c r="D561">
        <f>LN(Table1[[#This Row],[IPC_real]]/B562)</f>
        <v>1.4400612139564537E-2</v>
      </c>
      <c r="E561">
        <f>LN(Table1[[#This Row],[MXNUSD_real]]/C562)</f>
        <v>-4.6725535309771618E-3</v>
      </c>
      <c r="N561" s="4">
        <v>0.88717705918493239</v>
      </c>
    </row>
    <row r="562" spans="1:14" x14ac:dyDescent="0.25">
      <c r="A562" s="1">
        <v>40095</v>
      </c>
      <c r="B562" s="2">
        <v>30039.71</v>
      </c>
      <c r="C562" s="2">
        <v>13.3</v>
      </c>
      <c r="D562">
        <f>LN(Table1[[#This Row],[IPC_real]]/B563)</f>
        <v>4.700154935880412E-3</v>
      </c>
      <c r="E562">
        <f>LN(Table1[[#This Row],[MXNUSD_real]]/C563)</f>
        <v>1.8814680997055703E-3</v>
      </c>
      <c r="N562" s="4">
        <v>0.89023535609489279</v>
      </c>
    </row>
    <row r="563" spans="1:14" x14ac:dyDescent="0.25">
      <c r="A563" s="1">
        <v>40094</v>
      </c>
      <c r="B563" s="2">
        <v>29898.85</v>
      </c>
      <c r="C563" s="2">
        <v>13.275</v>
      </c>
      <c r="D563">
        <f>LN(Table1[[#This Row],[IPC_real]]/B564)</f>
        <v>4.5415753173919174E-3</v>
      </c>
      <c r="E563">
        <f>LN(Table1[[#This Row],[MXNUSD_real]]/C564)</f>
        <v>-8.9989358685694729E-3</v>
      </c>
      <c r="N563" s="4">
        <v>0.8869027604268408</v>
      </c>
    </row>
    <row r="564" spans="1:14" x14ac:dyDescent="0.25">
      <c r="A564" s="1">
        <v>40093</v>
      </c>
      <c r="B564" s="2">
        <v>29763.37</v>
      </c>
      <c r="C564" s="2">
        <v>13.395</v>
      </c>
      <c r="D564">
        <f>LN(Table1[[#This Row],[IPC_real]]/B565)</f>
        <v>2.4519870965243611E-3</v>
      </c>
      <c r="E564">
        <f>LN(Table1[[#This Row],[MXNUSD_real]]/C565)</f>
        <v>-8.9186767318389717E-3</v>
      </c>
      <c r="N564" s="4">
        <v>0.88693145926099959</v>
      </c>
    </row>
    <row r="565" spans="1:14" x14ac:dyDescent="0.25">
      <c r="A565" s="1">
        <v>40092</v>
      </c>
      <c r="B565" s="2">
        <v>29690.48</v>
      </c>
      <c r="C565" s="2">
        <v>13.515000000000001</v>
      </c>
      <c r="D565">
        <f>LN(Table1[[#This Row],[IPC_real]]/B566)</f>
        <v>1.6164717304267343E-2</v>
      </c>
      <c r="E565">
        <f>LN(Table1[[#This Row],[MXNUSD_real]]/C566)</f>
        <v>-7.7391209929552722E-3</v>
      </c>
      <c r="N565" s="4">
        <v>0.89006993281817748</v>
      </c>
    </row>
    <row r="566" spans="1:14" x14ac:dyDescent="0.25">
      <c r="A566" s="1">
        <v>40091</v>
      </c>
      <c r="B566" s="2">
        <v>29214.400000000001</v>
      </c>
      <c r="C566" s="2">
        <v>13.62</v>
      </c>
      <c r="D566">
        <f>LN(Table1[[#This Row],[IPC_real]]/B567)</f>
        <v>1.8508446215112082E-2</v>
      </c>
      <c r="E566">
        <f>LN(Table1[[#This Row],[MXNUSD_real]]/C567)</f>
        <v>-8.0730986733974514E-4</v>
      </c>
      <c r="N566" s="4">
        <v>0.88910870368809269</v>
      </c>
    </row>
    <row r="567" spans="1:14" x14ac:dyDescent="0.25">
      <c r="A567" s="1">
        <v>40088</v>
      </c>
      <c r="B567" s="2">
        <v>28678.66</v>
      </c>
      <c r="C567" s="2">
        <v>13.631</v>
      </c>
      <c r="D567">
        <f>LN(Table1[[#This Row],[IPC_real]]/B568)</f>
        <v>3.1571481437843918E-3</v>
      </c>
      <c r="E567">
        <f>LN(Table1[[#This Row],[MXNUSD_real]]/C568)</f>
        <v>-4.319028711651518E-3</v>
      </c>
      <c r="N567" s="4">
        <v>0.88902227623959829</v>
      </c>
    </row>
    <row r="568" spans="1:14" x14ac:dyDescent="0.25">
      <c r="A568" s="1">
        <v>40087</v>
      </c>
      <c r="B568" s="2">
        <v>28588.26</v>
      </c>
      <c r="C568" s="2">
        <v>13.69</v>
      </c>
      <c r="D568">
        <f>LN(Table1[[#This Row],[IPC_real]]/B569)</f>
        <v>-2.2276065741136476E-2</v>
      </c>
      <c r="E568">
        <f>LN(Table1[[#This Row],[MXNUSD_real]]/C569)</f>
        <v>1.3975953855973808E-2</v>
      </c>
      <c r="N568" s="4">
        <v>0.88662010726043095</v>
      </c>
    </row>
    <row r="569" spans="1:14" x14ac:dyDescent="0.25">
      <c r="A569" s="1">
        <v>40086</v>
      </c>
      <c r="B569" s="2">
        <v>29232.240000000002</v>
      </c>
      <c r="C569" s="2">
        <v>13.5</v>
      </c>
      <c r="D569">
        <f>LN(Table1[[#This Row],[IPC_real]]/B570)</f>
        <v>-6.8106477860846613E-3</v>
      </c>
      <c r="E569">
        <f>LN(Table1[[#This Row],[MXNUSD_real]]/C570)</f>
        <v>-3.1801232288505036E-3</v>
      </c>
      <c r="N569" s="4">
        <v>0.89046874192586845</v>
      </c>
    </row>
    <row r="570" spans="1:14" x14ac:dyDescent="0.25">
      <c r="A570" s="1">
        <v>40085</v>
      </c>
      <c r="B570" s="2">
        <v>29432.01</v>
      </c>
      <c r="C570" s="2">
        <v>13.542999999999999</v>
      </c>
      <c r="D570">
        <f>LN(Table1[[#This Row],[IPC_real]]/B571)</f>
        <v>1.0204984398571549E-3</v>
      </c>
      <c r="E570">
        <f>LN(Table1[[#This Row],[MXNUSD_real]]/C571)</f>
        <v>1.1229813376313668E-3</v>
      </c>
      <c r="N570" s="4">
        <v>0.89044289070253513</v>
      </c>
    </row>
    <row r="571" spans="1:14" x14ac:dyDescent="0.25">
      <c r="A571" s="1">
        <v>40084</v>
      </c>
      <c r="B571" s="2">
        <v>29401.99</v>
      </c>
      <c r="C571" s="2">
        <v>13.527799999999999</v>
      </c>
      <c r="D571">
        <f>LN(Table1[[#This Row],[IPC_real]]/B572)</f>
        <v>2.2077521686487155E-2</v>
      </c>
      <c r="E571">
        <f>LN(Table1[[#This Row],[MXNUSD_real]]/C572)</f>
        <v>-3.1883357636308665E-3</v>
      </c>
      <c r="N571" s="4">
        <v>0.89005870655100872</v>
      </c>
    </row>
    <row r="572" spans="1:14" x14ac:dyDescent="0.25">
      <c r="A572" s="1">
        <v>40081</v>
      </c>
      <c r="B572" s="2">
        <v>28759.98</v>
      </c>
      <c r="C572" s="2">
        <v>13.571</v>
      </c>
      <c r="D572">
        <f>LN(Table1[[#This Row],[IPC_real]]/B573)</f>
        <v>1.0305710651862747E-2</v>
      </c>
      <c r="E572">
        <f>LN(Table1[[#This Row],[MXNUSD_real]]/C573)</f>
        <v>3.3953383666883176E-3</v>
      </c>
      <c r="N572" s="4">
        <v>0.88763694874397214</v>
      </c>
    </row>
    <row r="573" spans="1:14" x14ac:dyDescent="0.25">
      <c r="A573" s="1">
        <v>40080</v>
      </c>
      <c r="B573" s="2">
        <v>28465.11</v>
      </c>
      <c r="C573" s="2">
        <v>13.525</v>
      </c>
      <c r="D573">
        <f>LN(Table1[[#This Row],[IPC_real]]/B574)</f>
        <v>-1.7225045634518019E-2</v>
      </c>
      <c r="E573">
        <f>LN(Table1[[#This Row],[MXNUSD_real]]/C574)</f>
        <v>1.6550251030776588E-2</v>
      </c>
      <c r="N573" s="4">
        <v>0.88889925957089999</v>
      </c>
    </row>
    <row r="574" spans="1:14" x14ac:dyDescent="0.25">
      <c r="A574" s="1">
        <v>40079</v>
      </c>
      <c r="B574" s="2">
        <v>28959.67</v>
      </c>
      <c r="C574" s="2">
        <v>13.303000000000001</v>
      </c>
      <c r="D574">
        <f>LN(Table1[[#This Row],[IPC_real]]/B575)</f>
        <v>-1.8949712245388987E-2</v>
      </c>
      <c r="E574">
        <f>LN(Table1[[#This Row],[MXNUSD_real]]/C575)</f>
        <v>-1.8024788958211659E-3</v>
      </c>
      <c r="N574" s="4">
        <v>0.88148030738945604</v>
      </c>
    </row>
    <row r="575" spans="1:14" x14ac:dyDescent="0.25">
      <c r="A575" s="1">
        <v>40078</v>
      </c>
      <c r="B575" s="2">
        <v>29513.68</v>
      </c>
      <c r="C575" s="2">
        <v>13.327</v>
      </c>
      <c r="D575">
        <f>LN(Table1[[#This Row],[IPC_real]]/B576)</f>
        <v>-3.1623393004234605E-3</v>
      </c>
      <c r="E575">
        <f>LN(Table1[[#This Row],[MXNUSD_real]]/C576)</f>
        <v>-5.6865098987696908E-3</v>
      </c>
      <c r="N575" s="4">
        <v>0.8884979312008997</v>
      </c>
    </row>
    <row r="576" spans="1:14" x14ac:dyDescent="0.25">
      <c r="A576" s="1">
        <v>40077</v>
      </c>
      <c r="B576" s="2">
        <v>29607.16</v>
      </c>
      <c r="C576" s="2">
        <v>13.403</v>
      </c>
      <c r="D576">
        <f>LN(Table1[[#This Row],[IPC_real]]/B577)</f>
        <v>-1.1245953056865054E-2</v>
      </c>
      <c r="E576">
        <f>LN(Table1[[#This Row],[MXNUSD_real]]/C577)</f>
        <v>1.1405541213860551E-2</v>
      </c>
      <c r="N576" s="4">
        <v>0.88691143276910744</v>
      </c>
    </row>
    <row r="577" spans="1:14" x14ac:dyDescent="0.25">
      <c r="A577" s="1">
        <v>40074</v>
      </c>
      <c r="B577" s="2">
        <v>29942</v>
      </c>
      <c r="C577" s="2">
        <v>13.250999999999999</v>
      </c>
      <c r="D577">
        <f>LN(Table1[[#This Row],[IPC_real]]/B578)</f>
        <v>-2.5256969262831769E-3</v>
      </c>
      <c r="E577">
        <f>LN(Table1[[#This Row],[MXNUSD_real]]/C578)</f>
        <v>1.5094339651291442E-4</v>
      </c>
      <c r="N577" s="4">
        <v>0.8885008526708339</v>
      </c>
    </row>
    <row r="578" spans="1:14" x14ac:dyDescent="0.25">
      <c r="A578" s="1">
        <v>40073</v>
      </c>
      <c r="B578" s="2">
        <v>30017.72</v>
      </c>
      <c r="C578" s="2">
        <v>13.249000000000001</v>
      </c>
      <c r="D578">
        <f>LN(Table1[[#This Row],[IPC_real]]/B579)</f>
        <v>1.3168599393375524E-2</v>
      </c>
      <c r="E578">
        <f>LN(Table1[[#This Row],[MXNUSD_real]]/C579)</f>
        <v>-3.5411602271061449E-3</v>
      </c>
      <c r="N578" s="4">
        <v>0.8860280066765468</v>
      </c>
    </row>
    <row r="579" spans="1:14" x14ac:dyDescent="0.25">
      <c r="A579" s="1">
        <v>40071</v>
      </c>
      <c r="B579" s="2">
        <v>29625.02</v>
      </c>
      <c r="C579" s="2">
        <v>13.295999999999999</v>
      </c>
      <c r="D579">
        <f>LN(Table1[[#This Row],[IPC_real]]/B580)</f>
        <v>8.1965324454614189E-3</v>
      </c>
      <c r="E579">
        <f>LN(Table1[[#This Row],[MXNUSD_real]]/C580)</f>
        <v>-4.6522181903519222E-3</v>
      </c>
      <c r="N579" s="4">
        <v>0.88026113172156406</v>
      </c>
    </row>
    <row r="580" spans="1:14" x14ac:dyDescent="0.25">
      <c r="A580" s="1">
        <v>40070</v>
      </c>
      <c r="B580" s="2">
        <v>29383.19</v>
      </c>
      <c r="C580" s="2">
        <v>13.358000000000001</v>
      </c>
      <c r="D580">
        <f>LN(Table1[[#This Row],[IPC_real]]/B581)</f>
        <v>-2.2300805509912029E-3</v>
      </c>
      <c r="E580">
        <f>LN(Table1[[#This Row],[MXNUSD_real]]/C581)</f>
        <v>-1.0475122544079539E-3</v>
      </c>
      <c r="N580" s="4">
        <v>0.88800216241257401</v>
      </c>
    </row>
    <row r="581" spans="1:14" x14ac:dyDescent="0.25">
      <c r="A581" s="1">
        <v>40067</v>
      </c>
      <c r="B581" s="2">
        <v>29448.79</v>
      </c>
      <c r="C581" s="2">
        <v>13.372</v>
      </c>
      <c r="D581">
        <f>LN(Table1[[#This Row],[IPC_real]]/B582)</f>
        <v>4.4368352306179771E-3</v>
      </c>
      <c r="E581">
        <f>LN(Table1[[#This Row],[MXNUSD_real]]/C582)</f>
        <v>-9.5676620346447341E-4</v>
      </c>
      <c r="N581" s="4">
        <v>0.88937103281337171</v>
      </c>
    </row>
    <row r="582" spans="1:14" x14ac:dyDescent="0.25">
      <c r="A582" s="1">
        <v>40066</v>
      </c>
      <c r="B582" s="2">
        <v>29318.42</v>
      </c>
      <c r="C582" s="2">
        <v>13.3848</v>
      </c>
      <c r="D582">
        <f>LN(Table1[[#This Row],[IPC_real]]/B583)</f>
        <v>7.4760950464354851E-3</v>
      </c>
      <c r="E582">
        <f>LN(Table1[[#This Row],[MXNUSD_real]]/C583)</f>
        <v>-2.998905633611815E-3</v>
      </c>
      <c r="N582" s="4">
        <v>0.88265267014959425</v>
      </c>
    </row>
    <row r="583" spans="1:14" x14ac:dyDescent="0.25">
      <c r="A583" s="1">
        <v>40065</v>
      </c>
      <c r="B583" s="2">
        <v>29100.05</v>
      </c>
      <c r="C583" s="2">
        <v>13.425000000000001</v>
      </c>
      <c r="D583">
        <f>LN(Table1[[#This Row],[IPC_real]]/B584)</f>
        <v>-3.1143838946911897E-3</v>
      </c>
      <c r="E583">
        <f>LN(Table1[[#This Row],[MXNUSD_real]]/C584)</f>
        <v>8.8284278333230319E-3</v>
      </c>
      <c r="N583" s="4">
        <v>0.88727961980936776</v>
      </c>
    </row>
    <row r="584" spans="1:14" x14ac:dyDescent="0.25">
      <c r="A584" s="1">
        <v>40064</v>
      </c>
      <c r="B584" s="2">
        <v>29190.82</v>
      </c>
      <c r="C584" s="2">
        <v>13.307</v>
      </c>
      <c r="D584">
        <f>LN(Table1[[#This Row],[IPC_real]]/B585)</f>
        <v>2.0963425760307058E-2</v>
      </c>
      <c r="E584">
        <f>LN(Table1[[#This Row],[MXNUSD_real]]/C585)</f>
        <v>-4.1620637895582275E-3</v>
      </c>
      <c r="N584" s="4">
        <v>0.88862598561271067</v>
      </c>
    </row>
    <row r="585" spans="1:14" x14ac:dyDescent="0.25">
      <c r="A585" s="1">
        <v>40063</v>
      </c>
      <c r="B585" s="2">
        <v>28585.25</v>
      </c>
      <c r="C585" s="2">
        <v>13.362500000000001</v>
      </c>
      <c r="D585">
        <f>LN(Table1[[#This Row],[IPC_real]]/B586)</f>
        <v>9.6916469692450869E-3</v>
      </c>
      <c r="E585">
        <f>LN(Table1[[#This Row],[MXNUSD_real]]/C586)</f>
        <v>-2.6531657349120998E-3</v>
      </c>
      <c r="N585" s="4">
        <v>0.88901522005997857</v>
      </c>
    </row>
    <row r="586" spans="1:14" x14ac:dyDescent="0.25">
      <c r="A586" s="1">
        <v>40060</v>
      </c>
      <c r="B586" s="2">
        <v>28309.55</v>
      </c>
      <c r="C586" s="2">
        <v>13.398</v>
      </c>
      <c r="D586">
        <f>LN(Table1[[#This Row],[IPC_real]]/B587)</f>
        <v>5.6486518154979229E-3</v>
      </c>
      <c r="E586">
        <f>LN(Table1[[#This Row],[MXNUSD_real]]/C587)</f>
        <v>-1.7358541116799742E-2</v>
      </c>
      <c r="N586" s="4">
        <v>0.88772564677397858</v>
      </c>
    </row>
    <row r="587" spans="1:14" x14ac:dyDescent="0.25">
      <c r="A587" s="1">
        <v>40059</v>
      </c>
      <c r="B587" s="2">
        <v>28150.09</v>
      </c>
      <c r="C587" s="2">
        <v>13.6326</v>
      </c>
      <c r="D587">
        <f>LN(Table1[[#This Row],[IPC_real]]/B588)</f>
        <v>7.013860171465801E-3</v>
      </c>
      <c r="E587">
        <f>LN(Table1[[#This Row],[MXNUSD_real]]/C588)</f>
        <v>3.497740324564349E-3</v>
      </c>
      <c r="N587" s="4">
        <v>0.88769217854217031</v>
      </c>
    </row>
    <row r="588" spans="1:14" x14ac:dyDescent="0.25">
      <c r="A588" s="1">
        <v>40058</v>
      </c>
      <c r="B588" s="2">
        <v>27953.34</v>
      </c>
      <c r="C588" s="2">
        <v>13.585000000000001</v>
      </c>
      <c r="D588">
        <f>LN(Table1[[#This Row],[IPC_real]]/B589)</f>
        <v>7.3311221031850515E-3</v>
      </c>
      <c r="E588">
        <f>LN(Table1[[#This Row],[MXNUSD_real]]/C589)</f>
        <v>-2.1250867407149507E-3</v>
      </c>
      <c r="N588" s="4">
        <v>0.88843336401353779</v>
      </c>
    </row>
    <row r="589" spans="1:14" x14ac:dyDescent="0.25">
      <c r="A589" s="1">
        <v>40057</v>
      </c>
      <c r="B589" s="2">
        <v>27749.16</v>
      </c>
      <c r="C589" s="2">
        <v>13.613899999999999</v>
      </c>
      <c r="D589">
        <f>LN(Table1[[#This Row],[IPC_real]]/B590)</f>
        <v>-1.3629275574381877E-2</v>
      </c>
      <c r="E589">
        <f>LN(Table1[[#This Row],[MXNUSD_real]]/C590)</f>
        <v>2.0174375331702344E-2</v>
      </c>
      <c r="N589" s="4">
        <v>0.88378392281721352</v>
      </c>
    </row>
    <row r="590" spans="1:14" x14ac:dyDescent="0.25">
      <c r="A590" s="1">
        <v>40056</v>
      </c>
      <c r="B590" s="2">
        <v>28129.95</v>
      </c>
      <c r="C590" s="2">
        <v>13.342000000000001</v>
      </c>
      <c r="D590">
        <f>LN(Table1[[#This Row],[IPC_real]]/B591)</f>
        <v>-1.6569075580696185E-2</v>
      </c>
      <c r="E590">
        <f>LN(Table1[[#This Row],[MXNUSD_real]]/C591)</f>
        <v>7.1080989025436737E-3</v>
      </c>
      <c r="N590" s="4">
        <v>0.88884440404586029</v>
      </c>
    </row>
    <row r="591" spans="1:14" x14ac:dyDescent="0.25">
      <c r="A591" s="1">
        <v>40053</v>
      </c>
      <c r="B591" s="2">
        <v>28599.919999999998</v>
      </c>
      <c r="C591" s="2">
        <v>13.2475</v>
      </c>
      <c r="D591">
        <f>LN(Table1[[#This Row],[IPC_real]]/B592)</f>
        <v>5.7036635039810976E-3</v>
      </c>
      <c r="E591">
        <f>LN(Table1[[#This Row],[MXNUSD_real]]/C592)</f>
        <v>3.9708854294927204E-3</v>
      </c>
      <c r="N591" s="4">
        <v>0.88830963551779707</v>
      </c>
    </row>
    <row r="592" spans="1:14" x14ac:dyDescent="0.25">
      <c r="A592" s="1">
        <v>40052</v>
      </c>
      <c r="B592" s="2">
        <v>28437.26</v>
      </c>
      <c r="C592" s="2">
        <v>13.195</v>
      </c>
      <c r="D592">
        <f>LN(Table1[[#This Row],[IPC_real]]/B593)</f>
        <v>7.9227091999426978E-3</v>
      </c>
      <c r="E592">
        <f>LN(Table1[[#This Row],[MXNUSD_real]]/C593)</f>
        <v>3.507470248333905E-3</v>
      </c>
      <c r="N592" s="4">
        <v>0.89296371871794322</v>
      </c>
    </row>
    <row r="593" spans="1:14" x14ac:dyDescent="0.25">
      <c r="A593" s="1">
        <v>40051</v>
      </c>
      <c r="B593" s="2">
        <v>28212.85</v>
      </c>
      <c r="C593" s="2">
        <v>13.1488</v>
      </c>
      <c r="D593">
        <f>LN(Table1[[#This Row],[IPC_real]]/B594)</f>
        <v>7.3780567499984722E-3</v>
      </c>
      <c r="E593">
        <f>LN(Table1[[#This Row],[MXNUSD_real]]/C594)</f>
        <v>1.4539972253676191E-2</v>
      </c>
      <c r="N593" s="4">
        <v>0.88598744041517918</v>
      </c>
    </row>
    <row r="594" spans="1:14" x14ac:dyDescent="0.25">
      <c r="A594" s="1">
        <v>40050</v>
      </c>
      <c r="B594" s="2">
        <v>28005.46</v>
      </c>
      <c r="C594" s="2">
        <v>12.959</v>
      </c>
      <c r="D594">
        <f>LN(Table1[[#This Row],[IPC_real]]/B595)</f>
        <v>4.2492616914250898E-5</v>
      </c>
      <c r="E594">
        <f>LN(Table1[[#This Row],[MXNUSD_real]]/C595)</f>
        <v>4.8733416890049683E-3</v>
      </c>
      <c r="N594" s="4">
        <v>0.88811927628380405</v>
      </c>
    </row>
    <row r="595" spans="1:14" x14ac:dyDescent="0.25">
      <c r="A595" s="1">
        <v>40049</v>
      </c>
      <c r="B595" s="2">
        <v>28004.27</v>
      </c>
      <c r="C595" s="2">
        <v>12.896000000000001</v>
      </c>
      <c r="D595">
        <f>LN(Table1[[#This Row],[IPC_real]]/B596)</f>
        <v>-1.0821363765117739E-2</v>
      </c>
      <c r="E595">
        <f>LN(Table1[[#This Row],[MXNUSD_real]]/C596)</f>
        <v>4.5388208612594559E-3</v>
      </c>
      <c r="N595" s="4">
        <v>0.87846646475837231</v>
      </c>
    </row>
    <row r="596" spans="1:14" x14ac:dyDescent="0.25">
      <c r="A596" s="1">
        <v>40046</v>
      </c>
      <c r="B596" s="2">
        <v>28308.959999999999</v>
      </c>
      <c r="C596" s="2">
        <v>12.8376</v>
      </c>
      <c r="D596">
        <f>LN(Table1[[#This Row],[IPC_real]]/B597)</f>
        <v>1.2967266239946738E-2</v>
      </c>
      <c r="E596">
        <f>LN(Table1[[#This Row],[MXNUSD_real]]/C597)</f>
        <v>-4.2285990501783732E-3</v>
      </c>
      <c r="N596" s="4">
        <v>0.88451492065670001</v>
      </c>
    </row>
    <row r="597" spans="1:14" x14ac:dyDescent="0.25">
      <c r="A597" s="1">
        <v>40045</v>
      </c>
      <c r="B597" s="2">
        <v>27944.240000000002</v>
      </c>
      <c r="C597" s="2">
        <v>12.891999999999999</v>
      </c>
      <c r="D597">
        <f>LN(Table1[[#This Row],[IPC_real]]/B598)</f>
        <v>1.2454383065332985E-2</v>
      </c>
      <c r="E597">
        <f>LN(Table1[[#This Row],[MXNUSD_real]]/C598)</f>
        <v>5.819254135858206E-4</v>
      </c>
      <c r="N597" s="4">
        <v>0.8857991531778423</v>
      </c>
    </row>
    <row r="598" spans="1:14" x14ac:dyDescent="0.25">
      <c r="A598" s="1">
        <v>40044</v>
      </c>
      <c r="B598" s="2">
        <v>27598.37</v>
      </c>
      <c r="C598" s="2">
        <v>12.884499999999999</v>
      </c>
      <c r="D598">
        <f>LN(Table1[[#This Row],[IPC_real]]/B599)</f>
        <v>1.9603692641662778E-3</v>
      </c>
      <c r="E598">
        <f>LN(Table1[[#This Row],[MXNUSD_real]]/C599)</f>
        <v>-4.9162975243924522E-3</v>
      </c>
      <c r="N598" s="4">
        <v>0.88598358252220422</v>
      </c>
    </row>
    <row r="599" spans="1:14" x14ac:dyDescent="0.25">
      <c r="A599" s="1">
        <v>40043</v>
      </c>
      <c r="B599" s="2">
        <v>27544.32</v>
      </c>
      <c r="C599" s="2">
        <v>12.948</v>
      </c>
      <c r="D599">
        <f>LN(Table1[[#This Row],[IPC_real]]/B600)</f>
        <v>8.9250262867476716E-3</v>
      </c>
      <c r="E599">
        <f>LN(Table1[[#This Row],[MXNUSD_real]]/C600)</f>
        <v>3.8616748088587378E-5</v>
      </c>
      <c r="N599" s="4">
        <v>0.88121708042376856</v>
      </c>
    </row>
    <row r="600" spans="1:14" x14ac:dyDescent="0.25">
      <c r="A600" s="1">
        <v>40042</v>
      </c>
      <c r="B600" s="2">
        <v>27299.58</v>
      </c>
      <c r="C600" s="2">
        <v>12.9475</v>
      </c>
      <c r="D600">
        <f>LN(Table1[[#This Row],[IPC_real]]/B601)</f>
        <v>-2.0156602981347173E-2</v>
      </c>
      <c r="E600">
        <f>LN(Table1[[#This Row],[MXNUSD_real]]/C601)</f>
        <v>4.0630799826013612E-3</v>
      </c>
      <c r="N600" s="4">
        <v>0.8854361231073522</v>
      </c>
    </row>
    <row r="601" spans="1:14" x14ac:dyDescent="0.25">
      <c r="A601" s="1">
        <v>40039</v>
      </c>
      <c r="B601" s="2">
        <v>27855.43</v>
      </c>
      <c r="C601" s="2">
        <v>12.895</v>
      </c>
      <c r="D601">
        <f>LN(Table1[[#This Row],[IPC_real]]/B602)</f>
        <v>-1.0714441774927759E-2</v>
      </c>
      <c r="E601">
        <f>LN(Table1[[#This Row],[MXNUSD_real]]/C602)</f>
        <v>-1.5508684894613371E-4</v>
      </c>
      <c r="N601" s="4">
        <v>0.88557128877472935</v>
      </c>
    </row>
    <row r="602" spans="1:14" x14ac:dyDescent="0.25">
      <c r="A602" s="1">
        <v>40038</v>
      </c>
      <c r="B602" s="2">
        <v>28155.49</v>
      </c>
      <c r="C602" s="2">
        <v>12.897</v>
      </c>
      <c r="D602">
        <f>LN(Table1[[#This Row],[IPC_real]]/B603)</f>
        <v>2.1144329159047646E-3</v>
      </c>
      <c r="E602">
        <f>LN(Table1[[#This Row],[MXNUSD_real]]/C603)</f>
        <v>-9.4919105981689112E-3</v>
      </c>
      <c r="N602" s="4">
        <v>0.88886767429626956</v>
      </c>
    </row>
    <row r="603" spans="1:14" x14ac:dyDescent="0.25">
      <c r="A603" s="1">
        <v>40037</v>
      </c>
      <c r="B603" s="2">
        <v>28096.02</v>
      </c>
      <c r="C603" s="2">
        <v>13.02</v>
      </c>
      <c r="D603">
        <f>LN(Table1[[#This Row],[IPC_real]]/B604)</f>
        <v>1.0563132036595972E-2</v>
      </c>
      <c r="E603">
        <f>LN(Table1[[#This Row],[MXNUSD_real]]/C604)</f>
        <v>1.1527378798082617E-3</v>
      </c>
      <c r="N603" s="4">
        <v>0.88711708618351082</v>
      </c>
    </row>
    <row r="604" spans="1:14" x14ac:dyDescent="0.25">
      <c r="A604" s="1">
        <v>40036</v>
      </c>
      <c r="B604" s="2">
        <v>27800.799999999999</v>
      </c>
      <c r="C604" s="2">
        <v>13.005000000000001</v>
      </c>
      <c r="D604">
        <f>LN(Table1[[#This Row],[IPC_real]]/B605)</f>
        <v>-1.7984975586828218E-2</v>
      </c>
      <c r="E604">
        <f>LN(Table1[[#This Row],[MXNUSD_real]]/C605)</f>
        <v>5.0106098278603923E-3</v>
      </c>
      <c r="N604" s="4">
        <v>0.88910666399242977</v>
      </c>
    </row>
    <row r="605" spans="1:14" x14ac:dyDescent="0.25">
      <c r="A605" s="1">
        <v>40035</v>
      </c>
      <c r="B605" s="2">
        <v>28305.32</v>
      </c>
      <c r="C605" s="2">
        <v>12.94</v>
      </c>
      <c r="D605">
        <f>LN(Table1[[#This Row],[IPC_real]]/B606)</f>
        <v>4.4532352769343416E-3</v>
      </c>
      <c r="E605">
        <f>LN(Table1[[#This Row],[MXNUSD_real]]/C606)</f>
        <v>-1.0813316879708377E-3</v>
      </c>
      <c r="N605" s="4">
        <v>0.88732179475859663</v>
      </c>
    </row>
    <row r="606" spans="1:14" x14ac:dyDescent="0.25">
      <c r="A606" s="1">
        <v>40032</v>
      </c>
      <c r="B606" s="2">
        <v>28179.55</v>
      </c>
      <c r="C606" s="2">
        <v>12.954000000000001</v>
      </c>
      <c r="D606">
        <f>LN(Table1[[#This Row],[IPC_real]]/B607)</f>
        <v>1.3473829984196609E-2</v>
      </c>
      <c r="E606">
        <f>LN(Table1[[#This Row],[MXNUSD_real]]/C607)</f>
        <v>-6.9619682317639932E-3</v>
      </c>
      <c r="N606" s="4">
        <v>0.88576230115564547</v>
      </c>
    </row>
    <row r="607" spans="1:14" x14ac:dyDescent="0.25">
      <c r="A607" s="1">
        <v>40031</v>
      </c>
      <c r="B607" s="2">
        <v>27802.41</v>
      </c>
      <c r="C607" s="2">
        <v>13.044499999999999</v>
      </c>
      <c r="D607">
        <f>LN(Table1[[#This Row],[IPC_real]]/B608)</f>
        <v>-1.0028528153700391E-2</v>
      </c>
      <c r="E607">
        <f>LN(Table1[[#This Row],[MXNUSD_real]]/C608)</f>
        <v>4.2172255115403222E-4</v>
      </c>
      <c r="N607" s="4">
        <v>0.88739434361692993</v>
      </c>
    </row>
    <row r="608" spans="1:14" x14ac:dyDescent="0.25">
      <c r="A608" s="1">
        <v>40030</v>
      </c>
      <c r="B608" s="2">
        <v>28082.63</v>
      </c>
      <c r="C608" s="2">
        <v>13.039</v>
      </c>
      <c r="D608">
        <f>LN(Table1[[#This Row],[IPC_real]]/B609)</f>
        <v>7.603264720659246E-3</v>
      </c>
      <c r="E608">
        <f>LN(Table1[[#This Row],[MXNUSD_real]]/C609)</f>
        <v>-7.487810046035815E-3</v>
      </c>
      <c r="N608" s="4">
        <v>0.89062672208551585</v>
      </c>
    </row>
    <row r="609" spans="1:14" x14ac:dyDescent="0.25">
      <c r="A609" s="1">
        <v>40029</v>
      </c>
      <c r="B609" s="2">
        <v>27869.919999999998</v>
      </c>
      <c r="C609" s="2">
        <v>13.137</v>
      </c>
      <c r="D609">
        <f>LN(Table1[[#This Row],[IPC_real]]/B610)</f>
        <v>6.38707482821433E-3</v>
      </c>
      <c r="E609">
        <f>LN(Table1[[#This Row],[MXNUSD_real]]/C610)</f>
        <v>3.0452988434820377E-4</v>
      </c>
      <c r="N609" s="4">
        <v>0.88690007034171436</v>
      </c>
    </row>
    <row r="610" spans="1:14" x14ac:dyDescent="0.25">
      <c r="A610" s="1">
        <v>40028</v>
      </c>
      <c r="B610" s="2">
        <v>27692.48</v>
      </c>
      <c r="C610" s="2">
        <v>13.132999999999999</v>
      </c>
      <c r="D610">
        <f>LN(Table1[[#This Row],[IPC_real]]/B611)</f>
        <v>2.3714215523255609E-2</v>
      </c>
      <c r="E610">
        <f>LN(Table1[[#This Row],[MXNUSD_real]]/C611)</f>
        <v>-5.1644376955998017E-3</v>
      </c>
      <c r="N610" s="4">
        <v>0.88538045436524759</v>
      </c>
    </row>
    <row r="611" spans="1:14" x14ac:dyDescent="0.25">
      <c r="A611" s="1">
        <v>40025</v>
      </c>
      <c r="B611" s="2">
        <v>27043.5</v>
      </c>
      <c r="C611" s="2">
        <v>13.201000000000001</v>
      </c>
      <c r="D611">
        <f>LN(Table1[[#This Row],[IPC_real]]/B612)</f>
        <v>8.6616576019917686E-3</v>
      </c>
      <c r="E611">
        <f>LN(Table1[[#This Row],[MXNUSD_real]]/C612)</f>
        <v>-2.8291129863327697E-3</v>
      </c>
      <c r="N611" s="4">
        <v>0.8877381070620477</v>
      </c>
    </row>
    <row r="612" spans="1:14" x14ac:dyDescent="0.25">
      <c r="A612" s="1">
        <v>40024</v>
      </c>
      <c r="B612" s="2">
        <v>26810.27</v>
      </c>
      <c r="C612" s="2">
        <v>13.2384</v>
      </c>
      <c r="D612">
        <f>LN(Table1[[#This Row],[IPC_real]]/B613)</f>
        <v>1.101784232542518E-2</v>
      </c>
      <c r="E612">
        <f>LN(Table1[[#This Row],[MXNUSD_real]]/C613)</f>
        <v>-3.4762447864869219E-3</v>
      </c>
      <c r="N612" s="4">
        <v>0.88980121352042207</v>
      </c>
    </row>
    <row r="613" spans="1:14" x14ac:dyDescent="0.25">
      <c r="A613" s="1">
        <v>40023</v>
      </c>
      <c r="B613" s="2">
        <v>26516.5</v>
      </c>
      <c r="C613" s="2">
        <v>13.2845</v>
      </c>
      <c r="D613">
        <f>LN(Table1[[#This Row],[IPC_real]]/B614)</f>
        <v>-1.2526572784838914E-2</v>
      </c>
      <c r="E613">
        <f>LN(Table1[[#This Row],[MXNUSD_real]]/C614)</f>
        <v>1.6348182175216705E-3</v>
      </c>
      <c r="N613" s="4">
        <v>0.88717763493548285</v>
      </c>
    </row>
    <row r="614" spans="1:14" x14ac:dyDescent="0.25">
      <c r="A614" s="1">
        <v>40022</v>
      </c>
      <c r="B614" s="2">
        <v>26850.75</v>
      </c>
      <c r="C614" s="2">
        <v>13.2628</v>
      </c>
      <c r="D614">
        <f>LN(Table1[[#This Row],[IPC_real]]/B615)</f>
        <v>1.3211333853035351E-3</v>
      </c>
      <c r="E614">
        <f>LN(Table1[[#This Row],[MXNUSD_real]]/C615)</f>
        <v>-2.0111258911125946E-3</v>
      </c>
      <c r="N614" s="4">
        <v>0.88997582126024533</v>
      </c>
    </row>
    <row r="615" spans="1:14" x14ac:dyDescent="0.25">
      <c r="A615" s="1">
        <v>40021</v>
      </c>
      <c r="B615" s="2">
        <v>26815.3</v>
      </c>
      <c r="C615" s="2">
        <v>13.2895</v>
      </c>
      <c r="D615">
        <f>LN(Table1[[#This Row],[IPC_real]]/B616)</f>
        <v>6.319688937267063E-3</v>
      </c>
      <c r="E615">
        <f>LN(Table1[[#This Row],[MXNUSD_real]]/C616)</f>
        <v>5.0316374454388172E-3</v>
      </c>
      <c r="N615" s="4">
        <v>0.88722182868767319</v>
      </c>
    </row>
    <row r="616" spans="1:14" x14ac:dyDescent="0.25">
      <c r="A616" s="1">
        <v>40018</v>
      </c>
      <c r="B616" s="2">
        <v>26646.37</v>
      </c>
      <c r="C616" s="2">
        <v>13.222799999999999</v>
      </c>
      <c r="D616">
        <f>LN(Table1[[#This Row],[IPC_real]]/B617)</f>
        <v>-5.9511746721914952E-3</v>
      </c>
      <c r="E616">
        <f>LN(Table1[[#This Row],[MXNUSD_real]]/C617)</f>
        <v>9.6849376536043124E-4</v>
      </c>
      <c r="N616" s="4">
        <v>0.88919221541454774</v>
      </c>
    </row>
    <row r="617" spans="1:14" x14ac:dyDescent="0.25">
      <c r="A617" s="1">
        <v>40017</v>
      </c>
      <c r="B617" s="2">
        <v>26805.42</v>
      </c>
      <c r="C617" s="2">
        <v>13.21</v>
      </c>
      <c r="D617">
        <f>LN(Table1[[#This Row],[IPC_real]]/B618)</f>
        <v>1.9483556176477578E-2</v>
      </c>
      <c r="E617">
        <f>LN(Table1[[#This Row],[MXNUSD_real]]/C618)</f>
        <v>-1.8907171448305045E-3</v>
      </c>
      <c r="N617" s="4">
        <v>0.88837269007461239</v>
      </c>
    </row>
    <row r="618" spans="1:14" x14ac:dyDescent="0.25">
      <c r="A618" s="1">
        <v>40016</v>
      </c>
      <c r="B618" s="2">
        <v>26288.21</v>
      </c>
      <c r="C618" s="2">
        <v>13.234999999999999</v>
      </c>
      <c r="D618">
        <f>LN(Table1[[#This Row],[IPC_real]]/B619)</f>
        <v>1.0869408244422165E-2</v>
      </c>
      <c r="E618">
        <f>LN(Table1[[#This Row],[MXNUSD_real]]/C619)</f>
        <v>-8.1645392113267289E-3</v>
      </c>
      <c r="N618" s="4">
        <v>0.88860301813840248</v>
      </c>
    </row>
    <row r="619" spans="1:14" x14ac:dyDescent="0.25">
      <c r="A619" s="1">
        <v>40015</v>
      </c>
      <c r="B619" s="2">
        <v>26004.02</v>
      </c>
      <c r="C619" s="2">
        <v>13.343500000000001</v>
      </c>
      <c r="D619">
        <f>LN(Table1[[#This Row],[IPC_real]]/B620)</f>
        <v>-1.0711530336216336E-2</v>
      </c>
      <c r="E619">
        <f>LN(Table1[[#This Row],[MXNUSD_real]]/C620)</f>
        <v>4.8605963707280004E-3</v>
      </c>
      <c r="N619" s="4">
        <v>0.88671523124803653</v>
      </c>
    </row>
    <row r="620" spans="1:14" x14ac:dyDescent="0.25">
      <c r="A620" s="1">
        <v>40014</v>
      </c>
      <c r="B620" s="2">
        <v>26284.06</v>
      </c>
      <c r="C620" s="2">
        <v>13.2788</v>
      </c>
      <c r="D620">
        <f>LN(Table1[[#This Row],[IPC_real]]/B621)</f>
        <v>2.0840326445425793E-2</v>
      </c>
      <c r="E620">
        <f>LN(Table1[[#This Row],[MXNUSD_real]]/C621)</f>
        <v>-4.3733491205941877E-3</v>
      </c>
      <c r="N620" s="4">
        <v>0.88807797726029414</v>
      </c>
    </row>
    <row r="621" spans="1:14" x14ac:dyDescent="0.25">
      <c r="A621" s="1">
        <v>40011</v>
      </c>
      <c r="B621" s="2">
        <v>25741.96</v>
      </c>
      <c r="C621" s="2">
        <v>13.337</v>
      </c>
      <c r="D621">
        <f>LN(Table1[[#This Row],[IPC_real]]/B622)</f>
        <v>2.4865222850565182E-4</v>
      </c>
      <c r="E621">
        <f>LN(Table1[[#This Row],[MXNUSD_real]]/C622)</f>
        <v>-2.0145121495133023E-2</v>
      </c>
      <c r="N621" s="4">
        <v>0.88537191614381572</v>
      </c>
    </row>
    <row r="622" spans="1:14" x14ac:dyDescent="0.25">
      <c r="A622" s="1">
        <v>40010</v>
      </c>
      <c r="B622" s="2">
        <v>25735.56</v>
      </c>
      <c r="C622" s="2">
        <v>13.6084</v>
      </c>
      <c r="D622">
        <f>LN(Table1[[#This Row],[IPC_real]]/B623)</f>
        <v>1.5634359020398097E-2</v>
      </c>
      <c r="E622">
        <f>LN(Table1[[#This Row],[MXNUSD_real]]/C623)</f>
        <v>2.6562981252546088E-3</v>
      </c>
      <c r="N622" s="4">
        <v>0.88697033594061558</v>
      </c>
    </row>
    <row r="623" spans="1:14" x14ac:dyDescent="0.25">
      <c r="A623" s="1">
        <v>40009</v>
      </c>
      <c r="B623" s="2">
        <v>25336.33</v>
      </c>
      <c r="C623" s="2">
        <v>13.5723</v>
      </c>
      <c r="D623">
        <f>LN(Table1[[#This Row],[IPC_real]]/B624)</f>
        <v>4.0091541881123544E-2</v>
      </c>
      <c r="E623">
        <f>LN(Table1[[#This Row],[MXNUSD_real]]/C624)</f>
        <v>-1.8071395444642008E-2</v>
      </c>
      <c r="N623" s="4">
        <v>0.88803425691809323</v>
      </c>
    </row>
    <row r="624" spans="1:14" x14ac:dyDescent="0.25">
      <c r="A624" s="1">
        <v>40008</v>
      </c>
      <c r="B624" s="2">
        <v>24340.65</v>
      </c>
      <c r="C624" s="2">
        <v>13.819800000000001</v>
      </c>
      <c r="D624">
        <f>LN(Table1[[#This Row],[IPC_real]]/B625)</f>
        <v>1.6097634545936004E-2</v>
      </c>
      <c r="E624">
        <f>LN(Table1[[#This Row],[MXNUSD_real]]/C625)</f>
        <v>4.554560975919328E-3</v>
      </c>
      <c r="N624" s="4">
        <v>0.89019818622088165</v>
      </c>
    </row>
    <row r="625" spans="1:14" x14ac:dyDescent="0.25">
      <c r="A625" s="1">
        <v>40007</v>
      </c>
      <c r="B625" s="2">
        <v>23951.96</v>
      </c>
      <c r="C625" s="2">
        <v>13.757</v>
      </c>
      <c r="D625">
        <f>LN(Table1[[#This Row],[IPC_real]]/B626)</f>
        <v>1.2422384310297145E-2</v>
      </c>
      <c r="E625">
        <f>LN(Table1[[#This Row],[MXNUSD_real]]/C626)</f>
        <v>4.8821461785011266E-3</v>
      </c>
      <c r="N625" s="4">
        <v>0.88544128589557636</v>
      </c>
    </row>
    <row r="626" spans="1:14" x14ac:dyDescent="0.25">
      <c r="A626" s="1">
        <v>40004</v>
      </c>
      <c r="B626" s="2">
        <v>23656.26</v>
      </c>
      <c r="C626" s="2">
        <v>13.69</v>
      </c>
      <c r="D626">
        <f>LN(Table1[[#This Row],[IPC_real]]/B627)</f>
        <v>9.2999598798802199E-4</v>
      </c>
      <c r="E626">
        <f>LN(Table1[[#This Row],[MXNUSD_real]]/C627)</f>
        <v>1.0020822745990473E-2</v>
      </c>
      <c r="N626" s="4">
        <v>0.88891820941819899</v>
      </c>
    </row>
    <row r="627" spans="1:14" x14ac:dyDescent="0.25">
      <c r="A627" s="1">
        <v>40003</v>
      </c>
      <c r="B627" s="2">
        <v>23634.27</v>
      </c>
      <c r="C627" s="2">
        <v>13.5535</v>
      </c>
      <c r="D627">
        <f>LN(Table1[[#This Row],[IPC_real]]/B628)</f>
        <v>7.0182281882155747E-3</v>
      </c>
      <c r="E627">
        <f>LN(Table1[[#This Row],[MXNUSD_real]]/C628)</f>
        <v>-3.2411357606116817E-3</v>
      </c>
      <c r="N627" s="4">
        <v>0.89371047202302756</v>
      </c>
    </row>
    <row r="628" spans="1:14" x14ac:dyDescent="0.25">
      <c r="A628" s="1">
        <v>40002</v>
      </c>
      <c r="B628" s="2">
        <v>23468.98</v>
      </c>
      <c r="C628" s="2">
        <v>13.5975</v>
      </c>
      <c r="D628">
        <f>LN(Table1[[#This Row],[IPC_real]]/B629)</f>
        <v>4.6569597191203835E-3</v>
      </c>
      <c r="E628">
        <f>LN(Table1[[#This Row],[MXNUSD_real]]/C629)</f>
        <v>1.8084963777436711E-2</v>
      </c>
      <c r="N628" s="4">
        <v>0.88631883628265473</v>
      </c>
    </row>
    <row r="629" spans="1:14" x14ac:dyDescent="0.25">
      <c r="A629" s="1">
        <v>40001</v>
      </c>
      <c r="B629" s="2">
        <v>23359.94</v>
      </c>
      <c r="C629" s="2">
        <v>13.3538</v>
      </c>
      <c r="D629">
        <f>LN(Table1[[#This Row],[IPC_real]]/B630)</f>
        <v>-1.6243680485667284E-2</v>
      </c>
      <c r="E629">
        <f>LN(Table1[[#This Row],[MXNUSD_real]]/C630)</f>
        <v>7.9543908946381955E-3</v>
      </c>
      <c r="N629" s="4">
        <v>0.89315871588913887</v>
      </c>
    </row>
    <row r="630" spans="1:14" x14ac:dyDescent="0.25">
      <c r="A630" s="1">
        <v>40000</v>
      </c>
      <c r="B630" s="2">
        <v>23742.49</v>
      </c>
      <c r="C630" s="2">
        <v>13.247999999999999</v>
      </c>
      <c r="D630">
        <f>LN(Table1[[#This Row],[IPC_real]]/B631)</f>
        <v>-1.267702423711751E-2</v>
      </c>
      <c r="E630">
        <f>LN(Table1[[#This Row],[MXNUSD_real]]/C631)</f>
        <v>1.3596195160394302E-3</v>
      </c>
      <c r="N630" s="4">
        <v>0.88556494468916858</v>
      </c>
    </row>
    <row r="631" spans="1:14" x14ac:dyDescent="0.25">
      <c r="A631" s="1">
        <v>39997</v>
      </c>
      <c r="B631" s="2">
        <v>24045.39</v>
      </c>
      <c r="C631" s="2">
        <v>13.23</v>
      </c>
      <c r="D631">
        <f>LN(Table1[[#This Row],[IPC_real]]/B632)</f>
        <v>-2.5240738352829621E-4</v>
      </c>
      <c r="E631">
        <f>LN(Table1[[#This Row],[MXNUSD_real]]/C632)</f>
        <v>1.1344300706118218E-3</v>
      </c>
      <c r="N631" s="4">
        <v>0.88543255604420035</v>
      </c>
    </row>
    <row r="632" spans="1:14" x14ac:dyDescent="0.25">
      <c r="A632" s="1">
        <v>39996</v>
      </c>
      <c r="B632" s="2">
        <v>24051.46</v>
      </c>
      <c r="C632" s="2">
        <v>13.215</v>
      </c>
      <c r="D632">
        <f>LN(Table1[[#This Row],[IPC_real]]/B633)</f>
        <v>-1.9456936094291354E-2</v>
      </c>
      <c r="E632">
        <f>LN(Table1[[#This Row],[MXNUSD_real]]/C633)</f>
        <v>7.5196890738508234E-3</v>
      </c>
      <c r="N632" s="4">
        <v>0.88326594590662855</v>
      </c>
    </row>
    <row r="633" spans="1:14" x14ac:dyDescent="0.25">
      <c r="A633" s="1">
        <v>39995</v>
      </c>
      <c r="B633" s="2">
        <v>24524.01</v>
      </c>
      <c r="C633" s="2">
        <v>13.116</v>
      </c>
      <c r="D633">
        <f>LN(Table1[[#This Row],[IPC_real]]/B634)</f>
        <v>6.3662474110336908E-3</v>
      </c>
      <c r="E633">
        <f>LN(Table1[[#This Row],[MXNUSD_real]]/C634)</f>
        <v>-3.8048900632831665E-3</v>
      </c>
      <c r="N633" s="4">
        <v>0.88851962579813015</v>
      </c>
    </row>
    <row r="634" spans="1:14" x14ac:dyDescent="0.25">
      <c r="A634" s="1">
        <v>39994</v>
      </c>
      <c r="B634" s="2">
        <v>24368.38</v>
      </c>
      <c r="C634" s="2">
        <v>13.166</v>
      </c>
      <c r="D634">
        <f>LN(Table1[[#This Row],[IPC_real]]/B635)</f>
        <v>-4.3057350726473593E-3</v>
      </c>
      <c r="E634">
        <f>LN(Table1[[#This Row],[MXNUSD_real]]/C635)</f>
        <v>-2.2783368239809963E-4</v>
      </c>
      <c r="N634" s="4">
        <v>0.87951244871635326</v>
      </c>
    </row>
    <row r="635" spans="1:14" x14ac:dyDescent="0.25">
      <c r="A635" s="1">
        <v>39993</v>
      </c>
      <c r="B635" s="2">
        <v>24473.53</v>
      </c>
      <c r="C635" s="2">
        <v>13.169</v>
      </c>
      <c r="D635">
        <f>LN(Table1[[#This Row],[IPC_real]]/B636)</f>
        <v>6.2536072680074225E-4</v>
      </c>
      <c r="E635">
        <f>LN(Table1[[#This Row],[MXNUSD_real]]/C636)</f>
        <v>-4.5458067521598443E-3</v>
      </c>
      <c r="N635" s="4">
        <v>0.8841577113159288</v>
      </c>
    </row>
    <row r="636" spans="1:14" x14ac:dyDescent="0.25">
      <c r="A636" s="1">
        <v>39990</v>
      </c>
      <c r="B636" s="2">
        <v>24458.23</v>
      </c>
      <c r="C636" s="2">
        <v>13.228999999999999</v>
      </c>
      <c r="D636">
        <f>LN(Table1[[#This Row],[IPC_real]]/B637)</f>
        <v>8.7270700819244828E-3</v>
      </c>
      <c r="E636">
        <f>LN(Table1[[#This Row],[MXNUSD_real]]/C637)</f>
        <v>-7.5588646621315461E-5</v>
      </c>
      <c r="N636" s="4">
        <v>0.88682092296082682</v>
      </c>
    </row>
    <row r="637" spans="1:14" x14ac:dyDescent="0.25">
      <c r="A637" s="1">
        <v>39989</v>
      </c>
      <c r="B637" s="2">
        <v>24245.71</v>
      </c>
      <c r="C637" s="2">
        <v>13.23</v>
      </c>
      <c r="D637">
        <f>LN(Table1[[#This Row],[IPC_real]]/B638)</f>
        <v>2.2290497199098046E-2</v>
      </c>
      <c r="E637">
        <f>LN(Table1[[#This Row],[MXNUSD_real]]/C638)</f>
        <v>-4.8258274925258035E-3</v>
      </c>
      <c r="N637" s="4">
        <v>0.88690706175553768</v>
      </c>
    </row>
    <row r="638" spans="1:14" x14ac:dyDescent="0.25">
      <c r="A638" s="1">
        <v>39988</v>
      </c>
      <c r="B638" s="2">
        <v>23711.24</v>
      </c>
      <c r="C638" s="2">
        <v>13.294</v>
      </c>
      <c r="D638">
        <f>LN(Table1[[#This Row],[IPC_real]]/B639)</f>
        <v>9.1024049894382827E-3</v>
      </c>
      <c r="E638">
        <f>LN(Table1[[#This Row],[MXNUSD_real]]/C639)</f>
        <v>-3.2293220208673471E-3</v>
      </c>
      <c r="N638" s="4">
        <v>0.88434177083140675</v>
      </c>
    </row>
    <row r="639" spans="1:14" x14ac:dyDescent="0.25">
      <c r="A639" s="1">
        <v>39987</v>
      </c>
      <c r="B639" s="2">
        <v>23496.39</v>
      </c>
      <c r="C639" s="2">
        <v>13.337</v>
      </c>
      <c r="D639">
        <f>LN(Table1[[#This Row],[IPC_real]]/B640)</f>
        <v>7.7635872321366222E-3</v>
      </c>
      <c r="E639">
        <f>LN(Table1[[#This Row],[MXNUSD_real]]/C640)</f>
        <v>-4.4977512002612643E-4</v>
      </c>
      <c r="N639" s="4">
        <v>0.8887190379335137</v>
      </c>
    </row>
    <row r="640" spans="1:14" x14ac:dyDescent="0.25">
      <c r="A640" s="1">
        <v>39986</v>
      </c>
      <c r="B640" s="2">
        <v>23314.68</v>
      </c>
      <c r="C640" s="2">
        <v>13.343</v>
      </c>
      <c r="D640">
        <f>LN(Table1[[#This Row],[IPC_real]]/B641)</f>
        <v>-4.0352274513953942E-2</v>
      </c>
      <c r="E640">
        <f>LN(Table1[[#This Row],[MXNUSD_real]]/C641)</f>
        <v>-3.068060924239288E-3</v>
      </c>
      <c r="N640" s="4">
        <v>0.88742153093438436</v>
      </c>
    </row>
    <row r="641" spans="1:14" x14ac:dyDescent="0.25">
      <c r="A641" s="1">
        <v>39983</v>
      </c>
      <c r="B641" s="2">
        <v>24274.720000000001</v>
      </c>
      <c r="C641" s="2">
        <v>13.384</v>
      </c>
      <c r="D641">
        <f>LN(Table1[[#This Row],[IPC_real]]/B642)</f>
        <v>-2.7123126047831733E-3</v>
      </c>
      <c r="E641">
        <f>LN(Table1[[#This Row],[MXNUSD_real]]/C642)</f>
        <v>-1.4942099392756944E-4</v>
      </c>
      <c r="N641" s="4">
        <v>0.88897825656972251</v>
      </c>
    </row>
    <row r="642" spans="1:14" x14ac:dyDescent="0.25">
      <c r="A642" s="1">
        <v>39982</v>
      </c>
      <c r="B642" s="2">
        <v>24340.65</v>
      </c>
      <c r="C642" s="2">
        <v>13.385999999999999</v>
      </c>
      <c r="D642">
        <f>LN(Table1[[#This Row],[IPC_real]]/B643)</f>
        <v>7.8244894786030691E-3</v>
      </c>
      <c r="E642">
        <f>LN(Table1[[#This Row],[MXNUSD_real]]/C643)</f>
        <v>1.5700350875679757E-3</v>
      </c>
      <c r="N642" s="4">
        <v>0.88736459634596854</v>
      </c>
    </row>
    <row r="643" spans="1:14" x14ac:dyDescent="0.25">
      <c r="A643" s="1">
        <v>39981</v>
      </c>
      <c r="B643" s="2">
        <v>24150.94</v>
      </c>
      <c r="C643" s="2">
        <v>13.365</v>
      </c>
      <c r="D643">
        <f>LN(Table1[[#This Row],[IPC_real]]/B644)</f>
        <v>-3.0548374718161828E-3</v>
      </c>
      <c r="E643">
        <f>LN(Table1[[#This Row],[MXNUSD_real]]/C644)</f>
        <v>-4.4792908040460567E-3</v>
      </c>
      <c r="N643" s="4">
        <v>0.88907538268275199</v>
      </c>
    </row>
    <row r="644" spans="1:14" x14ac:dyDescent="0.25">
      <c r="A644" s="1">
        <v>39980</v>
      </c>
      <c r="B644" s="2">
        <v>24224.83</v>
      </c>
      <c r="C644" s="2">
        <v>13.425000000000001</v>
      </c>
      <c r="D644">
        <f>LN(Table1[[#This Row],[IPC_real]]/B645)</f>
        <v>-2.7477213385618454E-2</v>
      </c>
      <c r="E644">
        <f>LN(Table1[[#This Row],[MXNUSD_real]]/C645)</f>
        <v>-1.7861134464836773E-3</v>
      </c>
      <c r="N644" s="4">
        <v>0.88851542684233109</v>
      </c>
    </row>
    <row r="645" spans="1:14" x14ac:dyDescent="0.25">
      <c r="A645" s="1">
        <v>39979</v>
      </c>
      <c r="B645" s="2">
        <v>24899.69</v>
      </c>
      <c r="C645" s="2">
        <v>13.449</v>
      </c>
      <c r="D645">
        <f>LN(Table1[[#This Row],[IPC_real]]/B646)</f>
        <v>-2.2254025080940706E-2</v>
      </c>
      <c r="E645">
        <f>LN(Table1[[#This Row],[MXNUSD_real]]/C646)</f>
        <v>2.680367921458874E-3</v>
      </c>
      <c r="N645" s="4">
        <v>0.88750427735838566</v>
      </c>
    </row>
    <row r="646" spans="1:14" x14ac:dyDescent="0.25">
      <c r="A646" s="1">
        <v>39976</v>
      </c>
      <c r="B646" s="2">
        <v>25460.02</v>
      </c>
      <c r="C646" s="2">
        <v>13.413</v>
      </c>
      <c r="D646">
        <f>LN(Table1[[#This Row],[IPC_real]]/B647)</f>
        <v>3.4296739667044529E-3</v>
      </c>
      <c r="E646">
        <f>LN(Table1[[#This Row],[MXNUSD_real]]/C647)</f>
        <v>3.4354029306172709E-3</v>
      </c>
      <c r="N646" s="4">
        <v>0.88845802685532738</v>
      </c>
    </row>
    <row r="647" spans="1:14" x14ac:dyDescent="0.25">
      <c r="A647" s="1">
        <v>39975</v>
      </c>
      <c r="B647" s="2">
        <v>25372.85</v>
      </c>
      <c r="C647" s="2">
        <v>13.367000000000001</v>
      </c>
      <c r="D647">
        <f>LN(Table1[[#This Row],[IPC_real]]/B648)</f>
        <v>7.4819507052834976E-3</v>
      </c>
      <c r="E647">
        <f>LN(Table1[[#This Row],[MXNUSD_real]]/C648)</f>
        <v>-1.7648389245873544E-2</v>
      </c>
      <c r="N647" s="4">
        <v>0.88739222479422342</v>
      </c>
    </row>
    <row r="648" spans="1:14" x14ac:dyDescent="0.25">
      <c r="A648" s="1">
        <v>39974</v>
      </c>
      <c r="B648" s="2">
        <v>25183.72</v>
      </c>
      <c r="C648" s="2">
        <v>13.605</v>
      </c>
      <c r="D648">
        <f>LN(Table1[[#This Row],[IPC_real]]/B649)</f>
        <v>3.0339357329984156E-3</v>
      </c>
      <c r="E648">
        <f>LN(Table1[[#This Row],[MXNUSD_real]]/C649)</f>
        <v>2.0233613083463367E-3</v>
      </c>
      <c r="N648" s="4">
        <v>0.88674015356855196</v>
      </c>
    </row>
    <row r="649" spans="1:14" x14ac:dyDescent="0.25">
      <c r="A649" s="1">
        <v>39973</v>
      </c>
      <c r="B649" s="2">
        <v>25107.43</v>
      </c>
      <c r="C649" s="2">
        <v>13.577500000000001</v>
      </c>
      <c r="D649">
        <f>LN(Table1[[#This Row],[IPC_real]]/B650)</f>
        <v>6.9764039410714386E-3</v>
      </c>
      <c r="E649">
        <f>LN(Table1[[#This Row],[MXNUSD_real]]/C650)</f>
        <v>9.4349048790153215E-3</v>
      </c>
      <c r="N649" s="4">
        <v>0.88895511747409961</v>
      </c>
    </row>
    <row r="650" spans="1:14" x14ac:dyDescent="0.25">
      <c r="A650" s="1">
        <v>39972</v>
      </c>
      <c r="B650" s="2">
        <v>24932.880000000001</v>
      </c>
      <c r="C650" s="2">
        <v>13.45</v>
      </c>
      <c r="D650">
        <f>LN(Table1[[#This Row],[IPC_real]]/B651)</f>
        <v>7.9725734869954157E-4</v>
      </c>
      <c r="E650">
        <f>LN(Table1[[#This Row],[MXNUSD_real]]/C651)</f>
        <v>1.2268256804798693E-2</v>
      </c>
      <c r="N650" s="4">
        <v>0.88799620474024177</v>
      </c>
    </row>
    <row r="651" spans="1:14" x14ac:dyDescent="0.25">
      <c r="A651" s="1">
        <v>39969</v>
      </c>
      <c r="B651" s="2">
        <v>24913.01</v>
      </c>
      <c r="C651" s="2">
        <v>13.286</v>
      </c>
      <c r="D651">
        <f>LN(Table1[[#This Row],[IPC_real]]/B652)</f>
        <v>6.644267092972468E-3</v>
      </c>
      <c r="E651">
        <f>LN(Table1[[#This Row],[MXNUSD_real]]/C652)</f>
        <v>4.9421940521214023E-3</v>
      </c>
      <c r="N651" s="4">
        <v>0.88630941780798866</v>
      </c>
    </row>
    <row r="652" spans="1:14" x14ac:dyDescent="0.25">
      <c r="A652" s="1">
        <v>39968</v>
      </c>
      <c r="B652" s="2">
        <v>24748.03</v>
      </c>
      <c r="C652" s="2">
        <v>13.220499999999999</v>
      </c>
      <c r="D652">
        <f>LN(Table1[[#This Row],[IPC_real]]/B653)</f>
        <v>3.9154411364711811E-3</v>
      </c>
      <c r="E652">
        <f>LN(Table1[[#This Row],[MXNUSD_real]]/C653)</f>
        <v>-9.672820482667278E-3</v>
      </c>
      <c r="N652" s="4">
        <v>0.8860121430107154</v>
      </c>
    </row>
    <row r="653" spans="1:14" x14ac:dyDescent="0.25">
      <c r="A653" s="1">
        <v>39967</v>
      </c>
      <c r="B653" s="2">
        <v>24651.32</v>
      </c>
      <c r="C653" s="2">
        <v>13.349</v>
      </c>
      <c r="D653">
        <f>LN(Table1[[#This Row],[IPC_real]]/B654)</f>
        <v>-2.1371673143841575E-2</v>
      </c>
      <c r="E653">
        <f>LN(Table1[[#This Row],[MXNUSD_real]]/C654)</f>
        <v>5.7472501979057939E-3</v>
      </c>
      <c r="N653" s="4">
        <v>0.89304333553203696</v>
      </c>
    </row>
    <row r="654" spans="1:14" x14ac:dyDescent="0.25">
      <c r="A654" s="1">
        <v>39966</v>
      </c>
      <c r="B654" s="2">
        <v>25183.83</v>
      </c>
      <c r="C654" s="2">
        <v>13.272500000000001</v>
      </c>
      <c r="D654">
        <f>LN(Table1[[#This Row],[IPC_real]]/B655)</f>
        <v>3.1099981200738724E-3</v>
      </c>
      <c r="E654">
        <f>LN(Table1[[#This Row],[MXNUSD_real]]/C655)</f>
        <v>8.1324325274167945E-3</v>
      </c>
      <c r="N654" s="4">
        <v>0.88656521398417509</v>
      </c>
    </row>
    <row r="655" spans="1:14" x14ac:dyDescent="0.25">
      <c r="A655" s="1">
        <v>39965</v>
      </c>
      <c r="B655" s="2">
        <v>25105.63</v>
      </c>
      <c r="C655" s="2">
        <v>13.164999999999999</v>
      </c>
      <c r="D655">
        <f>LN(Table1[[#This Row],[IPC_real]]/B656)</f>
        <v>3.1311685848325582E-2</v>
      </c>
      <c r="E655">
        <f>LN(Table1[[#This Row],[MXNUSD_real]]/C656)</f>
        <v>-7.9725142318174378E-4</v>
      </c>
      <c r="N655" s="4">
        <v>0.88352163303898346</v>
      </c>
    </row>
    <row r="656" spans="1:14" x14ac:dyDescent="0.25">
      <c r="A656" s="1">
        <v>39962</v>
      </c>
      <c r="B656" s="2">
        <v>24331.71</v>
      </c>
      <c r="C656" s="2">
        <v>13.1755</v>
      </c>
      <c r="D656">
        <f>LN(Table1[[#This Row],[IPC_real]]/B657)</f>
        <v>-1.3371240194822696E-2</v>
      </c>
      <c r="E656">
        <f>LN(Table1[[#This Row],[MXNUSD_real]]/C657)</f>
        <v>-5.2610783525786405E-3</v>
      </c>
      <c r="N656" s="4">
        <v>0.88226413757620892</v>
      </c>
    </row>
    <row r="657" spans="1:14" x14ac:dyDescent="0.25">
      <c r="A657" s="1">
        <v>39961</v>
      </c>
      <c r="B657" s="2">
        <v>24659.24</v>
      </c>
      <c r="C657" s="2">
        <v>13.244999999999999</v>
      </c>
      <c r="D657">
        <f>LN(Table1[[#This Row],[IPC_real]]/B658)</f>
        <v>6.1598358582029356E-3</v>
      </c>
      <c r="E657">
        <f>LN(Table1[[#This Row],[MXNUSD_real]]/C658)</f>
        <v>2.2675746677805605E-3</v>
      </c>
      <c r="N657" s="4">
        <v>0.88540821509926915</v>
      </c>
    </row>
    <row r="658" spans="1:14" x14ac:dyDescent="0.25">
      <c r="A658" s="1">
        <v>39960</v>
      </c>
      <c r="B658" s="2">
        <v>24507.81</v>
      </c>
      <c r="C658" s="2">
        <v>13.215</v>
      </c>
      <c r="D658">
        <f>LN(Table1[[#This Row],[IPC_real]]/B659)</f>
        <v>-5.3825431505275375E-3</v>
      </c>
      <c r="E658">
        <f>LN(Table1[[#This Row],[MXNUSD_real]]/C659)</f>
        <v>5.2984143842560189E-4</v>
      </c>
      <c r="N658" s="4">
        <v>0.89068435010559543</v>
      </c>
    </row>
    <row r="659" spans="1:14" x14ac:dyDescent="0.25">
      <c r="A659" s="1">
        <v>39959</v>
      </c>
      <c r="B659" s="2">
        <v>24640.080000000002</v>
      </c>
      <c r="C659" s="2">
        <v>13.208</v>
      </c>
      <c r="D659">
        <f>LN(Table1[[#This Row],[IPC_real]]/B660)</f>
        <v>1.8064728380726782E-2</v>
      </c>
      <c r="E659">
        <f>LN(Table1[[#This Row],[MXNUSD_real]]/C660)</f>
        <v>6.4943924735090365E-3</v>
      </c>
      <c r="N659" s="4">
        <v>0.88507967238330743</v>
      </c>
    </row>
    <row r="660" spans="1:14" x14ac:dyDescent="0.25">
      <c r="A660" s="1">
        <v>39958</v>
      </c>
      <c r="B660" s="2">
        <v>24198.959999999999</v>
      </c>
      <c r="C660" s="2">
        <v>13.1225</v>
      </c>
      <c r="D660">
        <f>LN(Table1[[#This Row],[IPC_real]]/B661)</f>
        <v>4.3783538081712727E-3</v>
      </c>
      <c r="E660">
        <f>LN(Table1[[#This Row],[MXNUSD_real]]/C661)</f>
        <v>-2.397580734841441E-3</v>
      </c>
      <c r="N660" s="4">
        <v>0.88408197277084055</v>
      </c>
    </row>
    <row r="661" spans="1:14" x14ac:dyDescent="0.25">
      <c r="A661" s="1">
        <v>39955</v>
      </c>
      <c r="B661" s="2">
        <v>24093.24</v>
      </c>
      <c r="C661" s="2">
        <v>13.154</v>
      </c>
      <c r="D661">
        <f>LN(Table1[[#This Row],[IPC_real]]/B662)</f>
        <v>1.1352843970784869E-2</v>
      </c>
      <c r="E661">
        <f>LN(Table1[[#This Row],[MXNUSD_real]]/C662)</f>
        <v>6.559401140335471E-3</v>
      </c>
      <c r="N661" s="4">
        <v>0.88763322691383773</v>
      </c>
    </row>
    <row r="662" spans="1:14" x14ac:dyDescent="0.25">
      <c r="A662" s="1">
        <v>39954</v>
      </c>
      <c r="B662" s="2">
        <v>23821.26</v>
      </c>
      <c r="C662" s="2">
        <v>13.068</v>
      </c>
      <c r="D662">
        <f>LN(Table1[[#This Row],[IPC_real]]/B663)</f>
        <v>-2.3988279468546897E-2</v>
      </c>
      <c r="E662">
        <f>LN(Table1[[#This Row],[MXNUSD_real]]/C663)</f>
        <v>1.0229678100831257E-2</v>
      </c>
      <c r="N662" s="4">
        <v>0.88922543657810826</v>
      </c>
    </row>
    <row r="663" spans="1:14" x14ac:dyDescent="0.25">
      <c r="A663" s="1">
        <v>39953</v>
      </c>
      <c r="B663" s="2">
        <v>24399.599999999999</v>
      </c>
      <c r="C663" s="2">
        <v>12.935</v>
      </c>
      <c r="D663">
        <f>LN(Table1[[#This Row],[IPC_real]]/B664)</f>
        <v>2.2558581639269444E-3</v>
      </c>
      <c r="E663">
        <f>LN(Table1[[#This Row],[MXNUSD_real]]/C664)</f>
        <v>-3.8647343476196051E-4</v>
      </c>
      <c r="N663" s="4">
        <v>0.88647044528368024</v>
      </c>
    </row>
    <row r="664" spans="1:14" x14ac:dyDescent="0.25">
      <c r="A664" s="1">
        <v>39952</v>
      </c>
      <c r="B664" s="2">
        <v>24344.62</v>
      </c>
      <c r="C664" s="2">
        <v>12.94</v>
      </c>
      <c r="D664">
        <f>LN(Table1[[#This Row],[IPC_real]]/B665)</f>
        <v>1.6948585811340944E-2</v>
      </c>
      <c r="E664">
        <f>LN(Table1[[#This Row],[MXNUSD_real]]/C665)</f>
        <v>-1.3166418633760741E-2</v>
      </c>
      <c r="N664" s="4">
        <v>0.88713678855439437</v>
      </c>
    </row>
    <row r="665" spans="1:14" x14ac:dyDescent="0.25">
      <c r="A665" s="1">
        <v>39951</v>
      </c>
      <c r="B665" s="2">
        <v>23935.49</v>
      </c>
      <c r="C665" s="2">
        <v>13.111499999999999</v>
      </c>
      <c r="D665">
        <f>LN(Table1[[#This Row],[IPC_real]]/B666)</f>
        <v>2.5119977373188773E-2</v>
      </c>
      <c r="E665">
        <f>LN(Table1[[#This Row],[MXNUSD_real]]/C666)</f>
        <v>-9.8283686511045458E-3</v>
      </c>
      <c r="N665" s="4">
        <v>0.88477107542296929</v>
      </c>
    </row>
    <row r="666" spans="1:14" x14ac:dyDescent="0.25">
      <c r="A666" s="1">
        <v>39948</v>
      </c>
      <c r="B666" s="2">
        <v>23341.72</v>
      </c>
      <c r="C666" s="2">
        <v>13.241</v>
      </c>
      <c r="D666">
        <f>LN(Table1[[#This Row],[IPC_real]]/B667)</f>
        <v>-2.7470916882506675E-3</v>
      </c>
      <c r="E666">
        <f>LN(Table1[[#This Row],[MXNUSD_real]]/C667)</f>
        <v>1.5116018296601407E-3</v>
      </c>
      <c r="N666" s="4">
        <v>0.88821771179122078</v>
      </c>
    </row>
    <row r="667" spans="1:14" x14ac:dyDescent="0.25">
      <c r="A667" s="1">
        <v>39947</v>
      </c>
      <c r="B667" s="2">
        <v>23405.93</v>
      </c>
      <c r="C667" s="2">
        <v>13.221</v>
      </c>
      <c r="D667">
        <f>LN(Table1[[#This Row],[IPC_real]]/B668)</f>
        <v>1.0778237257165762E-2</v>
      </c>
      <c r="E667">
        <f>LN(Table1[[#This Row],[MXNUSD_real]]/C668)</f>
        <v>-8.5856831060180574E-3</v>
      </c>
      <c r="N667" s="4">
        <v>0.8847440558249865</v>
      </c>
    </row>
    <row r="668" spans="1:14" x14ac:dyDescent="0.25">
      <c r="A668" s="1">
        <v>39946</v>
      </c>
      <c r="B668" s="2">
        <v>23155.01</v>
      </c>
      <c r="C668" s="2">
        <v>13.335000000000001</v>
      </c>
      <c r="D668">
        <f>LN(Table1[[#This Row],[IPC_real]]/B669)</f>
        <v>-2.31157641023996E-2</v>
      </c>
      <c r="E668">
        <f>LN(Table1[[#This Row],[MXNUSD_real]]/C669)</f>
        <v>5.6401728762611233E-3</v>
      </c>
      <c r="N668" s="4">
        <v>0.8831742582151566</v>
      </c>
    </row>
    <row r="669" spans="1:14" x14ac:dyDescent="0.25">
      <c r="A669" s="1">
        <v>39945</v>
      </c>
      <c r="B669" s="2">
        <v>23696.49</v>
      </c>
      <c r="C669" s="2">
        <v>13.26</v>
      </c>
      <c r="D669">
        <f>LN(Table1[[#This Row],[IPC_real]]/B670)</f>
        <v>-1.0349904971656948E-2</v>
      </c>
      <c r="E669">
        <f>LN(Table1[[#This Row],[MXNUSD_real]]/C670)</f>
        <v>8.8398616795013398E-3</v>
      </c>
      <c r="N669" s="4">
        <v>0.8874807070768983</v>
      </c>
    </row>
    <row r="670" spans="1:14" x14ac:dyDescent="0.25">
      <c r="A670" s="1">
        <v>39944</v>
      </c>
      <c r="B670" s="2">
        <v>23943.02</v>
      </c>
      <c r="C670" s="2">
        <v>13.1433</v>
      </c>
      <c r="D670">
        <f>LN(Table1[[#This Row],[IPC_real]]/B671)</f>
        <v>-5.9364802918394407E-3</v>
      </c>
      <c r="E670">
        <f>LN(Table1[[#This Row],[MXNUSD_real]]/C671)</f>
        <v>5.210113127228559E-3</v>
      </c>
      <c r="N670" s="4">
        <v>0.89176103211309832</v>
      </c>
    </row>
    <row r="671" spans="1:14" x14ac:dyDescent="0.25">
      <c r="A671" s="1">
        <v>39941</v>
      </c>
      <c r="B671" s="2">
        <v>24085.58</v>
      </c>
      <c r="C671" s="2">
        <v>13.074999999999999</v>
      </c>
      <c r="D671">
        <f>LN(Table1[[#This Row],[IPC_real]]/B672)</f>
        <v>2.0815862580709305E-2</v>
      </c>
      <c r="E671">
        <f>LN(Table1[[#This Row],[MXNUSD_real]]/C672)</f>
        <v>-8.3778098542634759E-3</v>
      </c>
      <c r="N671" s="4">
        <v>0.89073375062586713</v>
      </c>
    </row>
    <row r="672" spans="1:14" x14ac:dyDescent="0.25">
      <c r="A672" s="1">
        <v>39940</v>
      </c>
      <c r="B672" s="2">
        <v>23589.4</v>
      </c>
      <c r="C672" s="2">
        <v>13.185</v>
      </c>
      <c r="D672">
        <f>LN(Table1[[#This Row],[IPC_real]]/B673)</f>
        <v>-1.3337452816393409E-2</v>
      </c>
      <c r="E672">
        <f>LN(Table1[[#This Row],[MXNUSD_real]]/C673)</f>
        <v>4.0658958222374681E-3</v>
      </c>
      <c r="N672" s="4">
        <v>0.88676261089178177</v>
      </c>
    </row>
    <row r="673" spans="1:14" x14ac:dyDescent="0.25">
      <c r="A673" s="1">
        <v>39939</v>
      </c>
      <c r="B673" s="2">
        <v>23906.13</v>
      </c>
      <c r="C673" s="2">
        <v>13.131500000000001</v>
      </c>
      <c r="D673">
        <f>LN(Table1[[#This Row],[IPC_real]]/B674)</f>
        <v>2.0107415661276738E-2</v>
      </c>
      <c r="E673">
        <f>LN(Table1[[#This Row],[MXNUSD_real]]/C674)</f>
        <v>-1.1395811135509347E-2</v>
      </c>
      <c r="N673" s="4">
        <v>0.89033524140948628</v>
      </c>
    </row>
    <row r="674" spans="1:14" x14ac:dyDescent="0.25">
      <c r="A674" s="1">
        <v>39938</v>
      </c>
      <c r="B674" s="2">
        <v>23430.240000000002</v>
      </c>
      <c r="C674" s="2">
        <v>13.282</v>
      </c>
      <c r="D674">
        <f>LN(Table1[[#This Row],[IPC_real]]/B675)</f>
        <v>1.7922596755587449E-2</v>
      </c>
      <c r="E674">
        <f>LN(Table1[[#This Row],[MXNUSD_real]]/C675)</f>
        <v>-1.0535029945703848E-3</v>
      </c>
      <c r="N674" s="4">
        <v>0.88512360774092069</v>
      </c>
    </row>
    <row r="675" spans="1:14" x14ac:dyDescent="0.25">
      <c r="A675" s="1">
        <v>39937</v>
      </c>
      <c r="B675" s="2">
        <v>23014.05</v>
      </c>
      <c r="C675" s="2">
        <v>13.295999999999999</v>
      </c>
      <c r="D675">
        <f>LN(Table1[[#This Row],[IPC_real]]/B676)</f>
        <v>4.9670774961346371E-2</v>
      </c>
      <c r="E675">
        <f>LN(Table1[[#This Row],[MXNUSD_real]]/C676)</f>
        <v>-4.0460918509832924E-2</v>
      </c>
      <c r="N675" s="4">
        <v>0.88377900011477395</v>
      </c>
    </row>
    <row r="676" spans="1:14" x14ac:dyDescent="0.25">
      <c r="A676" s="1">
        <v>39933</v>
      </c>
      <c r="B676" s="2">
        <v>21898.85</v>
      </c>
      <c r="C676" s="2">
        <v>13.845000000000001</v>
      </c>
      <c r="D676">
        <f>LN(Table1[[#This Row],[IPC_real]]/B677)</f>
        <v>-8.2082056296355066E-3</v>
      </c>
      <c r="E676">
        <f>LN(Table1[[#This Row],[MXNUSD_real]]/C677)</f>
        <v>1.866351468456488E-2</v>
      </c>
      <c r="N676" s="4">
        <v>0.88529933376883285</v>
      </c>
    </row>
    <row r="677" spans="1:14" x14ac:dyDescent="0.25">
      <c r="A677" s="1">
        <v>39932</v>
      </c>
      <c r="B677" s="2">
        <v>22079.34</v>
      </c>
      <c r="C677" s="2">
        <v>13.589</v>
      </c>
      <c r="D677">
        <f>LN(Table1[[#This Row],[IPC_real]]/B678)</f>
        <v>1.9058289735319322E-2</v>
      </c>
      <c r="E677">
        <f>LN(Table1[[#This Row],[MXNUSD_real]]/C678)</f>
        <v>-1.7868688240032515E-2</v>
      </c>
      <c r="N677" s="4">
        <v>0.89026771909775038</v>
      </c>
    </row>
    <row r="678" spans="1:14" x14ac:dyDescent="0.25">
      <c r="A678" s="1">
        <v>39931</v>
      </c>
      <c r="B678" s="2">
        <v>21662.53</v>
      </c>
      <c r="C678" s="2">
        <v>13.834</v>
      </c>
      <c r="D678">
        <f>LN(Table1[[#This Row],[IPC_real]]/B679)</f>
        <v>-7.5687352515844599E-3</v>
      </c>
      <c r="E678">
        <f>LN(Table1[[#This Row],[MXNUSD_real]]/C679)</f>
        <v>-5.5505638990405353E-3</v>
      </c>
      <c r="N678" s="4">
        <v>0.88576117476797478</v>
      </c>
    </row>
    <row r="679" spans="1:14" x14ac:dyDescent="0.25">
      <c r="A679" s="1">
        <v>39930</v>
      </c>
      <c r="B679" s="2">
        <v>21827.11</v>
      </c>
      <c r="C679" s="2">
        <v>13.911</v>
      </c>
      <c r="D679">
        <f>LN(Table1[[#This Row],[IPC_real]]/B680)</f>
        <v>-3.4007881675677691E-2</v>
      </c>
      <c r="E679">
        <f>LN(Table1[[#This Row],[MXNUSD_real]]/C680)</f>
        <v>4.6232514734472117E-2</v>
      </c>
      <c r="N679" s="4">
        <v>0.89122391698827363</v>
      </c>
    </row>
    <row r="680" spans="1:14" x14ac:dyDescent="0.25">
      <c r="A680" s="1">
        <v>39927</v>
      </c>
      <c r="B680" s="2">
        <v>22582.17</v>
      </c>
      <c r="C680" s="2">
        <v>13.282500000000001</v>
      </c>
      <c r="D680">
        <f>LN(Table1[[#This Row],[IPC_real]]/B681)</f>
        <v>3.3906178467540855E-2</v>
      </c>
      <c r="E680">
        <f>LN(Table1[[#This Row],[MXNUSD_real]]/C681)</f>
        <v>6.0033028458971955E-3</v>
      </c>
      <c r="N680" s="4">
        <v>0.88772785448021152</v>
      </c>
    </row>
    <row r="681" spans="1:14" x14ac:dyDescent="0.25">
      <c r="A681" s="1">
        <v>39926</v>
      </c>
      <c r="B681" s="2">
        <v>21829.33</v>
      </c>
      <c r="C681" s="2">
        <v>13.202999999999999</v>
      </c>
      <c r="D681">
        <f>LN(Table1[[#This Row],[IPC_real]]/B682)</f>
        <v>1.6131743192291045E-2</v>
      </c>
      <c r="E681">
        <f>LN(Table1[[#This Row],[MXNUSD_real]]/C682)</f>
        <v>1.9332467498391563E-3</v>
      </c>
      <c r="N681" s="4">
        <v>0.89794691547174499</v>
      </c>
    </row>
    <row r="682" spans="1:14" x14ac:dyDescent="0.25">
      <c r="A682" s="1">
        <v>39925</v>
      </c>
      <c r="B682" s="2">
        <v>21480.01</v>
      </c>
      <c r="C682" s="2">
        <v>13.1775</v>
      </c>
      <c r="D682">
        <f>LN(Table1[[#This Row],[IPC_real]]/B683)</f>
        <v>1.2322815983929696E-2</v>
      </c>
      <c r="E682">
        <f>LN(Table1[[#This Row],[MXNUSD_real]]/C683)</f>
        <v>-1.3271402080624634E-3</v>
      </c>
      <c r="N682" s="4">
        <v>0.87922592011071388</v>
      </c>
    </row>
    <row r="683" spans="1:14" x14ac:dyDescent="0.25">
      <c r="A683" s="1">
        <v>39924</v>
      </c>
      <c r="B683" s="2">
        <v>21216.94</v>
      </c>
      <c r="C683" s="2">
        <v>13.195</v>
      </c>
      <c r="D683">
        <f>LN(Table1[[#This Row],[IPC_real]]/B684)</f>
        <v>-1.731406103567925E-2</v>
      </c>
      <c r="E683">
        <f>LN(Table1[[#This Row],[MXNUSD_real]]/C684)</f>
        <v>-1.5043533041284573E-2</v>
      </c>
      <c r="N683" s="4">
        <v>0.8931035451660988</v>
      </c>
    </row>
    <row r="684" spans="1:14" x14ac:dyDescent="0.25">
      <c r="A684" s="1">
        <v>39923</v>
      </c>
      <c r="B684" s="2">
        <v>21587.49</v>
      </c>
      <c r="C684" s="2">
        <v>13.395</v>
      </c>
      <c r="D684">
        <f>LN(Table1[[#This Row],[IPC_real]]/B685)</f>
        <v>-2.9546447832737029E-2</v>
      </c>
      <c r="E684">
        <f>LN(Table1[[#This Row],[MXNUSD_real]]/C685)</f>
        <v>2.2383783162322594E-2</v>
      </c>
      <c r="N684" s="4">
        <v>0.8893246228230447</v>
      </c>
    </row>
    <row r="685" spans="1:14" x14ac:dyDescent="0.25">
      <c r="A685" s="1">
        <v>39920</v>
      </c>
      <c r="B685" s="2">
        <v>22234.84</v>
      </c>
      <c r="C685" s="2">
        <v>13.0985</v>
      </c>
      <c r="D685">
        <f>LN(Table1[[#This Row],[IPC_real]]/B686)</f>
        <v>2.0547440555865092E-3</v>
      </c>
      <c r="E685">
        <f>LN(Table1[[#This Row],[MXNUSD_real]]/C686)</f>
        <v>-1.068253888166184E-3</v>
      </c>
      <c r="N685" s="4">
        <v>0.86259452085295374</v>
      </c>
    </row>
    <row r="686" spans="1:14" x14ac:dyDescent="0.25">
      <c r="A686" s="1">
        <v>39919</v>
      </c>
      <c r="B686" s="2">
        <v>22189.200000000001</v>
      </c>
      <c r="C686" s="2">
        <v>13.112500000000001</v>
      </c>
      <c r="D686">
        <f>LN(Table1[[#This Row],[IPC_real]]/B687)</f>
        <v>1.4884989115965993E-2</v>
      </c>
      <c r="E686">
        <f>LN(Table1[[#This Row],[MXNUSD_real]]/C687)</f>
        <v>-2.4754844594288331E-3</v>
      </c>
      <c r="N686" s="4">
        <v>0.8849743144039165</v>
      </c>
    </row>
    <row r="687" spans="1:14" x14ac:dyDescent="0.25">
      <c r="A687" s="1">
        <v>39918</v>
      </c>
      <c r="B687" s="2">
        <v>21861.360000000001</v>
      </c>
      <c r="C687" s="2">
        <v>13.145</v>
      </c>
      <c r="D687">
        <f>LN(Table1[[#This Row],[IPC_real]]/B688)</f>
        <v>-2.6148965241515245E-3</v>
      </c>
      <c r="E687">
        <f>LN(Table1[[#This Row],[MXNUSD_real]]/C688)</f>
        <v>-7.6045631041149052E-4</v>
      </c>
      <c r="N687" s="4">
        <v>0.88660009041354748</v>
      </c>
    </row>
    <row r="688" spans="1:14" x14ac:dyDescent="0.25">
      <c r="A688" s="1">
        <v>39917</v>
      </c>
      <c r="B688" s="2">
        <v>21918.6</v>
      </c>
      <c r="C688" s="2">
        <v>13.154999999999999</v>
      </c>
      <c r="D688">
        <f>LN(Table1[[#This Row],[IPC_real]]/B689)</f>
        <v>3.6400607317268975E-3</v>
      </c>
      <c r="E688">
        <f>LN(Table1[[#This Row],[MXNUSD_real]]/C689)</f>
        <v>2.9690555098541623E-3</v>
      </c>
      <c r="N688" s="4">
        <v>0.88782846428233919</v>
      </c>
    </row>
    <row r="689" spans="1:14" x14ac:dyDescent="0.25">
      <c r="A689" s="1">
        <v>39916</v>
      </c>
      <c r="B689" s="2">
        <v>21838.959999999999</v>
      </c>
      <c r="C689" s="2">
        <v>13.116</v>
      </c>
      <c r="D689">
        <f>LN(Table1[[#This Row],[IPC_real]]/B690)</f>
        <v>6.1777613335445229E-2</v>
      </c>
      <c r="E689">
        <f>LN(Table1[[#This Row],[MXNUSD_real]]/C690)</f>
        <v>-1.899352885834776E-2</v>
      </c>
      <c r="N689" s="4">
        <v>0.89231146222964142</v>
      </c>
    </row>
    <row r="690" spans="1:14" x14ac:dyDescent="0.25">
      <c r="A690" s="1">
        <v>39911</v>
      </c>
      <c r="B690" s="2">
        <v>20530.63</v>
      </c>
      <c r="C690" s="2">
        <v>13.3675</v>
      </c>
      <c r="D690">
        <f>LN(Table1[[#This Row],[IPC_real]]/B691)</f>
        <v>-4.5094058659271817E-3</v>
      </c>
      <c r="E690">
        <f>LN(Table1[[#This Row],[MXNUSD_real]]/C691)</f>
        <v>-8.1210400131798716E-3</v>
      </c>
      <c r="N690" s="4">
        <v>0.87732635476927978</v>
      </c>
    </row>
    <row r="691" spans="1:14" x14ac:dyDescent="0.25">
      <c r="A691" s="1">
        <v>39910</v>
      </c>
      <c r="B691" s="2">
        <v>20623.419999999998</v>
      </c>
      <c r="C691" s="2">
        <v>13.4765</v>
      </c>
      <c r="D691">
        <f>LN(Table1[[#This Row],[IPC_real]]/B692)</f>
        <v>-8.8722380330139312E-3</v>
      </c>
      <c r="E691">
        <f>LN(Table1[[#This Row],[MXNUSD_real]]/C692)</f>
        <v>-1.0077790676406545E-2</v>
      </c>
      <c r="N691" s="4">
        <v>0.88773328955228525</v>
      </c>
    </row>
    <row r="692" spans="1:14" x14ac:dyDescent="0.25">
      <c r="A692" s="1">
        <v>39909</v>
      </c>
      <c r="B692" s="2">
        <v>20807.21</v>
      </c>
      <c r="C692" s="2">
        <v>13.613</v>
      </c>
      <c r="D692">
        <f>LN(Table1[[#This Row],[IPC_real]]/B693)</f>
        <v>-6.064560899259803E-3</v>
      </c>
      <c r="E692">
        <f>LN(Table1[[#This Row],[MXNUSD_real]]/C693)</f>
        <v>3.7165872296577923E-3</v>
      </c>
      <c r="N692" s="4">
        <v>0.88824577200806365</v>
      </c>
    </row>
    <row r="693" spans="1:14" x14ac:dyDescent="0.25">
      <c r="A693" s="1">
        <v>39906</v>
      </c>
      <c r="B693" s="2">
        <v>20933.78</v>
      </c>
      <c r="C693" s="2">
        <v>13.5625</v>
      </c>
      <c r="D693">
        <f>LN(Table1[[#This Row],[IPC_real]]/B694)</f>
        <v>1.7890716742309999E-2</v>
      </c>
      <c r="E693">
        <f>LN(Table1[[#This Row],[MXNUSD_real]]/C694)</f>
        <v>-1.2638688246558866E-2</v>
      </c>
      <c r="N693" s="4">
        <v>0.88761960675266993</v>
      </c>
    </row>
    <row r="694" spans="1:14" x14ac:dyDescent="0.25">
      <c r="A694" s="1">
        <v>39905</v>
      </c>
      <c r="B694" s="2">
        <v>20562.59</v>
      </c>
      <c r="C694" s="2">
        <v>13.734999999999999</v>
      </c>
      <c r="D694">
        <f>LN(Table1[[#This Row],[IPC_real]]/B695)</f>
        <v>3.3740592690454943E-2</v>
      </c>
      <c r="E694">
        <f>LN(Table1[[#This Row],[MXNUSD_real]]/C695)</f>
        <v>-1.3953882918650863E-2</v>
      </c>
      <c r="N694" s="4">
        <v>0.88619617413311347</v>
      </c>
    </row>
    <row r="695" spans="1:14" x14ac:dyDescent="0.25">
      <c r="A695" s="1">
        <v>39904</v>
      </c>
      <c r="B695" s="2">
        <v>19880.37</v>
      </c>
      <c r="C695" s="2">
        <v>13.928000000000001</v>
      </c>
      <c r="D695">
        <f>LN(Table1[[#This Row],[IPC_real]]/B696)</f>
        <v>1.2839381057842799E-2</v>
      </c>
      <c r="E695">
        <f>LN(Table1[[#This Row],[MXNUSD_real]]/C696)</f>
        <v>-1.8875865361168941E-2</v>
      </c>
      <c r="N695" s="4">
        <v>0.89340690675432799</v>
      </c>
    </row>
    <row r="696" spans="1:14" x14ac:dyDescent="0.25">
      <c r="A696" s="1">
        <v>39903</v>
      </c>
      <c r="B696" s="2">
        <v>19626.75</v>
      </c>
      <c r="C696" s="2">
        <v>14.1934</v>
      </c>
      <c r="D696">
        <f>LN(Table1[[#This Row],[IPC_real]]/B697)</f>
        <v>4.9340063167658873E-3</v>
      </c>
      <c r="E696">
        <f>LN(Table1[[#This Row],[MXNUSD_real]]/C697)</f>
        <v>-1.0136287603623522E-2</v>
      </c>
      <c r="N696" s="4">
        <v>0.89018397208809752</v>
      </c>
    </row>
    <row r="697" spans="1:14" x14ac:dyDescent="0.25">
      <c r="A697" s="1">
        <v>39902</v>
      </c>
      <c r="B697" s="2">
        <v>19530.150000000001</v>
      </c>
      <c r="C697" s="2">
        <v>14.337999999999999</v>
      </c>
      <c r="D697">
        <f>LN(Table1[[#This Row],[IPC_real]]/B698)</f>
        <v>-3.9408472254869362E-2</v>
      </c>
      <c r="E697">
        <f>LN(Table1[[#This Row],[MXNUSD_real]]/C698)</f>
        <v>2.2343257444884818E-3</v>
      </c>
      <c r="N697" s="4">
        <v>0.8908126780321286</v>
      </c>
    </row>
    <row r="698" spans="1:14" x14ac:dyDescent="0.25">
      <c r="A698" s="1">
        <v>39899</v>
      </c>
      <c r="B698" s="2">
        <v>20315.169999999998</v>
      </c>
      <c r="C698" s="2">
        <v>14.305999999999999</v>
      </c>
      <c r="D698">
        <f>LN(Table1[[#This Row],[IPC_real]]/B699)</f>
        <v>-1.1115843251950539E-2</v>
      </c>
      <c r="E698">
        <f>LN(Table1[[#This Row],[MXNUSD_real]]/C699)</f>
        <v>9.6225501041021962E-3</v>
      </c>
      <c r="N698" s="4">
        <v>0.88590052496438831</v>
      </c>
    </row>
    <row r="699" spans="1:14" x14ac:dyDescent="0.25">
      <c r="A699" s="1">
        <v>39898</v>
      </c>
      <c r="B699" s="2">
        <v>20542.25</v>
      </c>
      <c r="C699" s="2">
        <v>14.169</v>
      </c>
      <c r="D699">
        <f>LN(Table1[[#This Row],[IPC_real]]/B700)</f>
        <v>1.3205134574618626E-2</v>
      </c>
      <c r="E699">
        <f>LN(Table1[[#This Row],[MXNUSD_real]]/C700)</f>
        <v>-7.5933712249932686E-3</v>
      </c>
      <c r="N699" s="4">
        <v>0.89160277371916841</v>
      </c>
    </row>
    <row r="700" spans="1:14" x14ac:dyDescent="0.25">
      <c r="A700" s="1">
        <v>39897</v>
      </c>
      <c r="B700" s="2">
        <v>20272.77</v>
      </c>
      <c r="C700" s="2">
        <v>14.276999999999999</v>
      </c>
      <c r="D700">
        <f>LN(Table1[[#This Row],[IPC_real]]/B701)</f>
        <v>1.4888176080786915E-3</v>
      </c>
      <c r="E700">
        <f>LN(Table1[[#This Row],[MXNUSD_real]]/C701)</f>
        <v>-5.4484627659442371E-3</v>
      </c>
      <c r="N700" s="4">
        <v>0.89199430891113929</v>
      </c>
    </row>
    <row r="701" spans="1:14" x14ac:dyDescent="0.25">
      <c r="A701" s="1">
        <v>39896</v>
      </c>
      <c r="B701" s="2">
        <v>20242.61</v>
      </c>
      <c r="C701" s="2">
        <v>14.355</v>
      </c>
      <c r="D701">
        <f>LN(Table1[[#This Row],[IPC_real]]/B702)</f>
        <v>-5.1156778487690298E-3</v>
      </c>
      <c r="E701">
        <f>LN(Table1[[#This Row],[MXNUSD_real]]/C702)</f>
        <v>4.188487798752214E-3</v>
      </c>
      <c r="N701" s="4">
        <v>0.89337549149457862</v>
      </c>
    </row>
    <row r="702" spans="1:14" x14ac:dyDescent="0.25">
      <c r="A702" s="1">
        <v>39895</v>
      </c>
      <c r="B702" s="2">
        <v>20346.43</v>
      </c>
      <c r="C702" s="2">
        <v>14.295</v>
      </c>
      <c r="D702">
        <f>LN(Table1[[#This Row],[IPC_real]]/B703)</f>
        <v>4.9525944655375922E-2</v>
      </c>
      <c r="E702">
        <f>LN(Table1[[#This Row],[MXNUSD_real]]/C703)</f>
        <v>7.4428092490988057E-3</v>
      </c>
      <c r="N702" s="4">
        <v>0.89083113783405665</v>
      </c>
    </row>
    <row r="703" spans="1:14" x14ac:dyDescent="0.25">
      <c r="A703" s="1">
        <v>39892</v>
      </c>
      <c r="B703" s="2">
        <v>19363.3</v>
      </c>
      <c r="C703" s="2">
        <v>14.189</v>
      </c>
      <c r="D703">
        <f>LN(Table1[[#This Row],[IPC_real]]/B704)</f>
        <v>-1.1971967289039617E-2</v>
      </c>
      <c r="E703">
        <f>LN(Table1[[#This Row],[MXNUSD_real]]/C704)</f>
        <v>-5.2718640356629303E-3</v>
      </c>
      <c r="N703" s="4">
        <v>0.88648336946554152</v>
      </c>
    </row>
    <row r="704" spans="1:14" x14ac:dyDescent="0.25">
      <c r="A704" s="1">
        <v>39891</v>
      </c>
      <c r="B704" s="2">
        <v>19596.509999999998</v>
      </c>
      <c r="C704" s="2">
        <v>14.263999999999999</v>
      </c>
      <c r="D704">
        <f>LN(Table1[[#This Row],[IPC_real]]/B705)</f>
        <v>-1.2224295125624377E-3</v>
      </c>
      <c r="E704">
        <f>LN(Table1[[#This Row],[MXNUSD_real]]/C705)</f>
        <v>2.4699623271143521E-2</v>
      </c>
      <c r="N704" s="4">
        <v>0.8834399923979489</v>
      </c>
    </row>
    <row r="705" spans="1:14" x14ac:dyDescent="0.25">
      <c r="A705" s="1">
        <v>39890</v>
      </c>
      <c r="B705" s="2">
        <v>19620.48</v>
      </c>
      <c r="C705" s="2">
        <v>13.916</v>
      </c>
      <c r="D705">
        <f>LN(Table1[[#This Row],[IPC_real]]/B706)</f>
        <v>1.5171736877502102E-2</v>
      </c>
      <c r="E705">
        <f>LN(Table1[[#This Row],[MXNUSD_real]]/C706)</f>
        <v>-8.336810544521768E-3</v>
      </c>
      <c r="N705" s="4">
        <v>0.89001068089326729</v>
      </c>
    </row>
    <row r="706" spans="1:14" x14ac:dyDescent="0.25">
      <c r="A706" s="1">
        <v>39889</v>
      </c>
      <c r="B706" s="2">
        <v>19325.05</v>
      </c>
      <c r="C706" s="2">
        <v>14.032500000000001</v>
      </c>
      <c r="D706">
        <f>LN(Table1[[#This Row],[IPC_real]]/B707)</f>
        <v>-5.7767988262249883E-3</v>
      </c>
      <c r="E706">
        <f>LN(Table1[[#This Row],[MXNUSD_real]]/C707)</f>
        <v>-3.3324153586438456E-2</v>
      </c>
      <c r="N706" s="4">
        <v>0.88928969594805496</v>
      </c>
    </row>
    <row r="707" spans="1:14" x14ac:dyDescent="0.25">
      <c r="A707" s="1">
        <v>39885</v>
      </c>
      <c r="B707" s="2">
        <v>19437.009999999998</v>
      </c>
      <c r="C707" s="2">
        <v>14.507999999999999</v>
      </c>
      <c r="D707">
        <f>LN(Table1[[#This Row],[IPC_real]]/B708)</f>
        <v>2.9877518294070444E-2</v>
      </c>
      <c r="E707">
        <f>LN(Table1[[#This Row],[MXNUSD_real]]/C708)</f>
        <v>-1.6237730071591575E-2</v>
      </c>
      <c r="N707" s="4">
        <v>0.88571208743584207</v>
      </c>
    </row>
    <row r="708" spans="1:14" x14ac:dyDescent="0.25">
      <c r="A708" s="1">
        <v>39884</v>
      </c>
      <c r="B708" s="2">
        <v>18864.87</v>
      </c>
      <c r="C708" s="2">
        <v>14.7455</v>
      </c>
      <c r="D708">
        <f>LN(Table1[[#This Row],[IPC_real]]/B709)</f>
        <v>5.8626175564083477E-2</v>
      </c>
      <c r="E708">
        <f>LN(Table1[[#This Row],[MXNUSD_real]]/C709)</f>
        <v>-2.2497721886300441E-2</v>
      </c>
      <c r="N708" s="4">
        <v>0.88437419593507727</v>
      </c>
    </row>
    <row r="709" spans="1:14" x14ac:dyDescent="0.25">
      <c r="A709" s="1">
        <v>39883</v>
      </c>
      <c r="B709" s="2">
        <v>17790.689999999999</v>
      </c>
      <c r="C709" s="2">
        <v>15.081</v>
      </c>
      <c r="D709">
        <f>LN(Table1[[#This Row],[IPC_real]]/B710)</f>
        <v>1.3990635800151672E-2</v>
      </c>
      <c r="E709">
        <f>LN(Table1[[#This Row],[MXNUSD_real]]/C710)</f>
        <v>-1.2388955822826788E-2</v>
      </c>
      <c r="N709" s="4">
        <v>0.88922914086717664</v>
      </c>
    </row>
    <row r="710" spans="1:14" x14ac:dyDescent="0.25">
      <c r="A710" s="1">
        <v>39882</v>
      </c>
      <c r="B710" s="2">
        <v>17543.52</v>
      </c>
      <c r="C710" s="2">
        <v>15.269</v>
      </c>
      <c r="D710">
        <f>LN(Table1[[#This Row],[IPC_real]]/B711)</f>
        <v>3.3569978162961499E-2</v>
      </c>
      <c r="E710">
        <f>LN(Table1[[#This Row],[MXNUSD_real]]/C711)</f>
        <v>-1.4370025227402699E-2</v>
      </c>
      <c r="N710" s="4">
        <v>0.87609302216663398</v>
      </c>
    </row>
    <row r="711" spans="1:14" x14ac:dyDescent="0.25">
      <c r="A711" s="1">
        <v>39881</v>
      </c>
      <c r="B711" s="2">
        <v>16964.36</v>
      </c>
      <c r="C711" s="2">
        <v>15.49</v>
      </c>
      <c r="D711">
        <f>LN(Table1[[#This Row],[IPC_real]]/B712)</f>
        <v>-4.6507061636155847E-3</v>
      </c>
      <c r="E711">
        <f>LN(Table1[[#This Row],[MXNUSD_real]]/C712)</f>
        <v>1.6829002548792559E-2</v>
      </c>
      <c r="N711" s="4">
        <v>0.89025437229461313</v>
      </c>
    </row>
    <row r="712" spans="1:14" x14ac:dyDescent="0.25">
      <c r="A712" s="1">
        <v>39878</v>
      </c>
      <c r="B712" s="2">
        <v>17043.439999999999</v>
      </c>
      <c r="C712" s="2">
        <v>15.2315</v>
      </c>
      <c r="D712">
        <f>LN(Table1[[#This Row],[IPC_real]]/B713)</f>
        <v>-1.8692458976550069E-2</v>
      </c>
      <c r="E712">
        <f>LN(Table1[[#This Row],[MXNUSD_real]]/C713)</f>
        <v>-7.1633309826517099E-3</v>
      </c>
      <c r="N712" s="4">
        <v>0.89669403967319106</v>
      </c>
    </row>
    <row r="713" spans="1:14" x14ac:dyDescent="0.25">
      <c r="A713" s="1">
        <v>39877</v>
      </c>
      <c r="B713" s="2">
        <v>17365.02</v>
      </c>
      <c r="C713" s="2">
        <v>15.340999999999999</v>
      </c>
      <c r="D713">
        <f>LN(Table1[[#This Row],[IPC_real]]/B714)</f>
        <v>-2.6141884321187095E-2</v>
      </c>
      <c r="E713">
        <f>LN(Table1[[#This Row],[MXNUSD_real]]/C714)</f>
        <v>8.9704317356339332E-3</v>
      </c>
      <c r="N713" s="4">
        <v>0.89265157058410094</v>
      </c>
    </row>
    <row r="714" spans="1:14" x14ac:dyDescent="0.25">
      <c r="A714" s="1">
        <v>39876</v>
      </c>
      <c r="B714" s="2">
        <v>17824.96</v>
      </c>
      <c r="C714" s="2">
        <v>15.204000000000001</v>
      </c>
      <c r="D714">
        <f>LN(Table1[[#This Row],[IPC_real]]/B715)</f>
        <v>4.1916073521157657E-2</v>
      </c>
      <c r="E714">
        <f>LN(Table1[[#This Row],[MXNUSD_real]]/C715)</f>
        <v>-8.6444546163410747E-3</v>
      </c>
      <c r="N714" s="4">
        <v>0.89430878270424685</v>
      </c>
    </row>
    <row r="715" spans="1:14" x14ac:dyDescent="0.25">
      <c r="A715" s="1">
        <v>39875</v>
      </c>
      <c r="B715" s="2">
        <v>17093.25</v>
      </c>
      <c r="C715" s="2">
        <v>15.336</v>
      </c>
      <c r="D715">
        <f>LN(Table1[[#This Row],[IPC_real]]/B716)</f>
        <v>9.6082660112321149E-3</v>
      </c>
      <c r="E715">
        <f>LN(Table1[[#This Row],[MXNUSD_real]]/C716)</f>
        <v>-6.1106606317260295E-3</v>
      </c>
      <c r="N715" s="4">
        <v>0.89152734249207533</v>
      </c>
    </row>
    <row r="716" spans="1:14" x14ac:dyDescent="0.25">
      <c r="A716" s="1">
        <v>39874</v>
      </c>
      <c r="B716" s="2">
        <v>16929.8</v>
      </c>
      <c r="C716" s="2">
        <v>15.43</v>
      </c>
      <c r="D716">
        <f>LN(Table1[[#This Row],[IPC_real]]/B717)</f>
        <v>-4.7432942555273798E-2</v>
      </c>
      <c r="E716">
        <f>LN(Table1[[#This Row],[MXNUSD_real]]/C717)</f>
        <v>2.1618922554190782E-2</v>
      </c>
      <c r="N716" s="4">
        <v>0.89211620235580069</v>
      </c>
    </row>
    <row r="717" spans="1:14" x14ac:dyDescent="0.25">
      <c r="A717" s="1">
        <v>39871</v>
      </c>
      <c r="B717" s="2">
        <v>17752.18</v>
      </c>
      <c r="C717" s="2">
        <v>15.1</v>
      </c>
      <c r="D717">
        <f>LN(Table1[[#This Row],[IPC_real]]/B718)</f>
        <v>-1.6480006397863515E-2</v>
      </c>
      <c r="E717">
        <f>LN(Table1[[#This Row],[MXNUSD_real]]/C718)</f>
        <v>1.1422606171768051E-2</v>
      </c>
      <c r="N717" s="4">
        <v>0.8801263704308665</v>
      </c>
    </row>
    <row r="718" spans="1:14" x14ac:dyDescent="0.25">
      <c r="A718" s="1">
        <v>39870</v>
      </c>
      <c r="B718" s="2">
        <v>18047.16</v>
      </c>
      <c r="C718" s="2">
        <v>14.9285</v>
      </c>
      <c r="D718">
        <f>LN(Table1[[#This Row],[IPC_real]]/B719)</f>
        <v>-8.4717232022665269E-3</v>
      </c>
      <c r="E718">
        <f>LN(Table1[[#This Row],[MXNUSD_real]]/C719)</f>
        <v>2.5822909531928165E-3</v>
      </c>
      <c r="N718" s="4">
        <v>0.88986826552338028</v>
      </c>
    </row>
    <row r="719" spans="1:14" x14ac:dyDescent="0.25">
      <c r="A719" s="1">
        <v>39869</v>
      </c>
      <c r="B719" s="2">
        <v>18200.7</v>
      </c>
      <c r="C719" s="2">
        <v>14.89</v>
      </c>
      <c r="D719">
        <f>LN(Table1[[#This Row],[IPC_real]]/B720)</f>
        <v>-5.2284140639345476E-3</v>
      </c>
      <c r="E719">
        <f>LN(Table1[[#This Row],[MXNUSD_real]]/C720)</f>
        <v>3.9028378724181717E-3</v>
      </c>
      <c r="N719" s="4">
        <v>0.88372272430153287</v>
      </c>
    </row>
    <row r="720" spans="1:14" x14ac:dyDescent="0.25">
      <c r="A720" s="1">
        <v>39868</v>
      </c>
      <c r="B720" s="2">
        <v>18296.11</v>
      </c>
      <c r="C720" s="2">
        <v>14.832000000000001</v>
      </c>
      <c r="D720">
        <f>LN(Table1[[#This Row],[IPC_real]]/B721)</f>
        <v>1.874187159763565E-2</v>
      </c>
      <c r="E720">
        <f>LN(Table1[[#This Row],[MXNUSD_real]]/C721)</f>
        <v>-5.9155859521154344E-3</v>
      </c>
      <c r="N720" s="4">
        <v>0.89035428697822872</v>
      </c>
    </row>
    <row r="721" spans="1:14" x14ac:dyDescent="0.25">
      <c r="A721" s="1">
        <v>39867</v>
      </c>
      <c r="B721" s="2">
        <v>17956.400000000001</v>
      </c>
      <c r="C721" s="2">
        <v>14.92</v>
      </c>
      <c r="D721">
        <f>LN(Table1[[#This Row],[IPC_real]]/B722)</f>
        <v>-2.0277630442413104E-2</v>
      </c>
      <c r="E721">
        <f>LN(Table1[[#This Row],[MXNUSD_real]]/C722)</f>
        <v>9.4276792555590457E-3</v>
      </c>
      <c r="N721" s="4">
        <v>0.88951513852107367</v>
      </c>
    </row>
    <row r="722" spans="1:14" x14ac:dyDescent="0.25">
      <c r="A722" s="1">
        <v>39864</v>
      </c>
      <c r="B722" s="2">
        <v>18324.23</v>
      </c>
      <c r="C722" s="2">
        <v>14.78</v>
      </c>
      <c r="D722">
        <f>LN(Table1[[#This Row],[IPC_real]]/B723)</f>
        <v>-1.9361423249910664E-2</v>
      </c>
      <c r="E722">
        <f>LN(Table1[[#This Row],[MXNUSD_real]]/C723)</f>
        <v>1.0679283890313656E-2</v>
      </c>
      <c r="N722" s="4">
        <v>0.87772504405513518</v>
      </c>
    </row>
    <row r="723" spans="1:14" x14ac:dyDescent="0.25">
      <c r="A723" s="1">
        <v>39863</v>
      </c>
      <c r="B723" s="2">
        <v>18682.47</v>
      </c>
      <c r="C723" s="2">
        <v>14.622999999999999</v>
      </c>
      <c r="D723">
        <f>LN(Table1[[#This Row],[IPC_real]]/B724)</f>
        <v>-3.1423929508753168E-3</v>
      </c>
      <c r="E723">
        <f>LN(Table1[[#This Row],[MXNUSD_real]]/C724)</f>
        <v>-1.2301805816031736E-3</v>
      </c>
      <c r="N723" s="4">
        <v>0.88264503293472985</v>
      </c>
    </row>
    <row r="724" spans="1:14" x14ac:dyDescent="0.25">
      <c r="A724" s="1">
        <v>39862</v>
      </c>
      <c r="B724" s="2">
        <v>18741.27</v>
      </c>
      <c r="C724" s="2">
        <v>14.641</v>
      </c>
      <c r="D724">
        <f>LN(Table1[[#This Row],[IPC_real]]/B725)</f>
        <v>-5.9933362359809285E-3</v>
      </c>
      <c r="E724">
        <f>LN(Table1[[#This Row],[MXNUSD_real]]/C725)</f>
        <v>-3.2050216667895508E-3</v>
      </c>
      <c r="N724" s="4">
        <v>0.88634777263646269</v>
      </c>
    </row>
    <row r="725" spans="1:14" x14ac:dyDescent="0.25">
      <c r="A725" s="1">
        <v>39861</v>
      </c>
      <c r="B725" s="2">
        <v>18853.93</v>
      </c>
      <c r="C725" s="2">
        <v>14.688000000000001</v>
      </c>
      <c r="D725">
        <f>LN(Table1[[#This Row],[IPC_real]]/B726)</f>
        <v>-3.4762769436814916E-2</v>
      </c>
      <c r="E725">
        <f>LN(Table1[[#This Row],[MXNUSD_real]]/C726)</f>
        <v>1.2468476936913995E-2</v>
      </c>
      <c r="N725" s="4">
        <v>0.88582631894562602</v>
      </c>
    </row>
    <row r="726" spans="1:14" x14ac:dyDescent="0.25">
      <c r="A726" s="1">
        <v>39860</v>
      </c>
      <c r="B726" s="2">
        <v>19520.87</v>
      </c>
      <c r="C726" s="2">
        <v>14.506</v>
      </c>
      <c r="D726">
        <f>LN(Table1[[#This Row],[IPC_real]]/B727)</f>
        <v>7.8567668857302004E-3</v>
      </c>
      <c r="E726">
        <f>LN(Table1[[#This Row],[MXNUSD_real]]/C727)</f>
        <v>5.4609059775854859E-3</v>
      </c>
      <c r="N726" s="4">
        <v>0.88944899195018068</v>
      </c>
    </row>
    <row r="727" spans="1:14" x14ac:dyDescent="0.25">
      <c r="A727" s="1">
        <v>39857</v>
      </c>
      <c r="B727" s="2">
        <v>19368.099999999999</v>
      </c>
      <c r="C727" s="2">
        <v>14.427</v>
      </c>
      <c r="D727">
        <f>LN(Table1[[#This Row],[IPC_real]]/B728)</f>
        <v>5.0869757735542487E-4</v>
      </c>
      <c r="E727">
        <f>LN(Table1[[#This Row],[MXNUSD_real]]/C728)</f>
        <v>-1.0652150983461083E-2</v>
      </c>
      <c r="N727" s="4">
        <v>0.8835247721461732</v>
      </c>
    </row>
    <row r="728" spans="1:14" x14ac:dyDescent="0.25">
      <c r="A728" s="1">
        <v>39856</v>
      </c>
      <c r="B728" s="2">
        <v>19358.25</v>
      </c>
      <c r="C728" s="2">
        <v>14.5815</v>
      </c>
      <c r="D728">
        <f>LN(Table1[[#This Row],[IPC_real]]/B729)</f>
        <v>-4.5561335253956788E-3</v>
      </c>
      <c r="E728">
        <f>LN(Table1[[#This Row],[MXNUSD_real]]/C729)</f>
        <v>3.0220841023135604E-3</v>
      </c>
      <c r="N728" s="4">
        <v>0.88297590403603088</v>
      </c>
    </row>
    <row r="729" spans="1:14" x14ac:dyDescent="0.25">
      <c r="A729" s="1">
        <v>39855</v>
      </c>
      <c r="B729" s="2">
        <v>19446.650000000001</v>
      </c>
      <c r="C729" s="2">
        <v>14.5375</v>
      </c>
      <c r="D729">
        <f>LN(Table1[[#This Row],[IPC_real]]/B730)</f>
        <v>-1.9305265915827825E-2</v>
      </c>
      <c r="E729">
        <f>LN(Table1[[#This Row],[MXNUSD_real]]/C730)</f>
        <v>2.5828684182540168E-3</v>
      </c>
      <c r="N729" s="4">
        <v>0.88779286624258735</v>
      </c>
    </row>
    <row r="730" spans="1:14" x14ac:dyDescent="0.25">
      <c r="A730" s="1">
        <v>39854</v>
      </c>
      <c r="B730" s="2">
        <v>19825.72</v>
      </c>
      <c r="C730" s="2">
        <v>14.5</v>
      </c>
      <c r="D730">
        <f>LN(Table1[[#This Row],[IPC_real]]/B731)</f>
        <v>-3.5252921964443379E-2</v>
      </c>
      <c r="E730">
        <f>LN(Table1[[#This Row],[MXNUSD_real]]/C731)</f>
        <v>2.0695439527537822E-2</v>
      </c>
      <c r="N730" s="4">
        <v>0.88850678716276743</v>
      </c>
    </row>
    <row r="731" spans="1:14" x14ac:dyDescent="0.25">
      <c r="A731" s="1">
        <v>39853</v>
      </c>
      <c r="B731" s="2">
        <v>20537.099999999999</v>
      </c>
      <c r="C731" s="2">
        <v>14.202999999999999</v>
      </c>
      <c r="D731">
        <f>LN(Table1[[#This Row],[IPC_real]]/B732)</f>
        <v>4.8307327360167284E-3</v>
      </c>
      <c r="E731">
        <f>LN(Table1[[#This Row],[MXNUSD_real]]/C732)</f>
        <v>-1.4080540716035313E-4</v>
      </c>
      <c r="N731" s="4">
        <v>0.8821732541769356</v>
      </c>
    </row>
    <row r="732" spans="1:14" x14ac:dyDescent="0.25">
      <c r="A732" s="1">
        <v>39850</v>
      </c>
      <c r="B732" s="2">
        <v>20438.13</v>
      </c>
      <c r="C732" s="2">
        <v>14.205</v>
      </c>
      <c r="D732">
        <f>LN(Table1[[#This Row],[IPC_real]]/B733)</f>
        <v>3.4909253750980487E-2</v>
      </c>
      <c r="E732">
        <f>LN(Table1[[#This Row],[MXNUSD_real]]/C733)</f>
        <v>-3.6189277590003683E-3</v>
      </c>
      <c r="N732" s="4">
        <v>0.88519700038140814</v>
      </c>
    </row>
    <row r="733" spans="1:14" x14ac:dyDescent="0.25">
      <c r="A733" s="1">
        <v>39849</v>
      </c>
      <c r="B733" s="2">
        <v>19736.96</v>
      </c>
      <c r="C733" s="2">
        <v>14.256500000000001</v>
      </c>
      <c r="D733">
        <f>LN(Table1[[#This Row],[IPC_real]]/B734)</f>
        <v>5.8110569230197494E-3</v>
      </c>
      <c r="E733">
        <f>LN(Table1[[#This Row],[MXNUSD_real]]/C734)</f>
        <v>-1.5210080393907385E-2</v>
      </c>
      <c r="N733" s="4">
        <v>0.89099309023883044</v>
      </c>
    </row>
    <row r="734" spans="1:14" x14ac:dyDescent="0.25">
      <c r="A734" s="1">
        <v>39848</v>
      </c>
      <c r="B734" s="2">
        <v>19622.599999999999</v>
      </c>
      <c r="C734" s="2">
        <v>14.475</v>
      </c>
      <c r="D734">
        <f>LN(Table1[[#This Row],[IPC_real]]/B735)</f>
        <v>-4.004783374876895E-4</v>
      </c>
      <c r="E734">
        <f>LN(Table1[[#This Row],[MXNUSD_real]]/C735)</f>
        <v>-7.0562206551151819E-3</v>
      </c>
      <c r="N734" s="4">
        <v>0.88617531619101952</v>
      </c>
    </row>
    <row r="735" spans="1:14" x14ac:dyDescent="0.25">
      <c r="A735" s="1">
        <v>39847</v>
      </c>
      <c r="B735" s="2">
        <v>19630.46</v>
      </c>
      <c r="C735" s="2">
        <v>14.577500000000001</v>
      </c>
      <c r="D735">
        <f>LN(Table1[[#This Row],[IPC_real]]/B736)</f>
        <v>3.3330302620942303E-3</v>
      </c>
      <c r="E735">
        <f>LN(Table1[[#This Row],[MXNUSD_real]]/C736)</f>
        <v>2.0969488572100119E-2</v>
      </c>
      <c r="N735" s="4">
        <v>0.88634754698278373</v>
      </c>
    </row>
    <row r="736" spans="1:14" x14ac:dyDescent="0.25">
      <c r="A736" s="1">
        <v>39843</v>
      </c>
      <c r="B736" s="2">
        <v>19565.14</v>
      </c>
      <c r="C736" s="2">
        <v>14.275</v>
      </c>
      <c r="D736">
        <f>LN(Table1[[#This Row],[IPC_real]]/B737)</f>
        <v>1.4367484190555566E-3</v>
      </c>
      <c r="E736">
        <f>LN(Table1[[#This Row],[MXNUSD_real]]/C737)</f>
        <v>7.5591464804366047E-3</v>
      </c>
      <c r="N736" s="4">
        <v>0.87820076053545415</v>
      </c>
    </row>
    <row r="737" spans="1:14" x14ac:dyDescent="0.25">
      <c r="A737" s="1">
        <v>39842</v>
      </c>
      <c r="B737" s="2">
        <v>19537.05</v>
      </c>
      <c r="C737" s="2">
        <v>14.1675</v>
      </c>
      <c r="D737">
        <f>LN(Table1[[#This Row],[IPC_real]]/B738)</f>
        <v>-3.0654376554923358E-2</v>
      </c>
      <c r="E737">
        <f>LN(Table1[[#This Row],[MXNUSD_real]]/C738)</f>
        <v>7.2611671198171733E-3</v>
      </c>
      <c r="N737" s="4">
        <v>0.88738900250554575</v>
      </c>
    </row>
    <row r="738" spans="1:14" x14ac:dyDescent="0.25">
      <c r="A738" s="1">
        <v>39841</v>
      </c>
      <c r="B738" s="2">
        <v>20145.22</v>
      </c>
      <c r="C738" s="2">
        <v>14.065</v>
      </c>
      <c r="D738">
        <f>LN(Table1[[#This Row],[IPC_real]]/B739)</f>
        <v>2.6613832864217084E-2</v>
      </c>
      <c r="E738">
        <f>LN(Table1[[#This Row],[MXNUSD_real]]/C739)</f>
        <v>-1.0854491637248867E-2</v>
      </c>
      <c r="N738" s="4">
        <v>0.88865346733268769</v>
      </c>
    </row>
    <row r="739" spans="1:14" x14ac:dyDescent="0.25">
      <c r="A739" s="1">
        <v>39840</v>
      </c>
      <c r="B739" s="2">
        <v>19616.150000000001</v>
      </c>
      <c r="C739" s="2">
        <v>14.218500000000001</v>
      </c>
      <c r="D739">
        <f>LN(Table1[[#This Row],[IPC_real]]/B740)</f>
        <v>1.687278441214605E-3</v>
      </c>
      <c r="E739">
        <f>LN(Table1[[#This Row],[MXNUSD_real]]/C740)</f>
        <v>7.6601677143463892E-3</v>
      </c>
      <c r="N739" s="4">
        <v>0.89235936285266471</v>
      </c>
    </row>
    <row r="740" spans="1:14" x14ac:dyDescent="0.25">
      <c r="A740" s="1">
        <v>39839</v>
      </c>
      <c r="B740" s="2">
        <v>19583.080000000002</v>
      </c>
      <c r="C740" s="2">
        <v>14.11</v>
      </c>
      <c r="D740">
        <f>LN(Table1[[#This Row],[IPC_real]]/B741)</f>
        <v>1.2035009225615494E-2</v>
      </c>
      <c r="E740">
        <f>LN(Table1[[#This Row],[MXNUSD_real]]/C741)</f>
        <v>6.0066644675451685E-3</v>
      </c>
      <c r="N740" s="4">
        <v>0.88983262793116991</v>
      </c>
    </row>
    <row r="741" spans="1:14" x14ac:dyDescent="0.25">
      <c r="A741" s="1">
        <v>39836</v>
      </c>
      <c r="B741" s="2">
        <v>19348.810000000001</v>
      </c>
      <c r="C741" s="2">
        <v>14.025499999999999</v>
      </c>
      <c r="D741">
        <f>LN(Table1[[#This Row],[IPC_real]]/B742)</f>
        <v>2.177179085946388E-3</v>
      </c>
      <c r="E741">
        <f>LN(Table1[[#This Row],[MXNUSD_real]]/C742)</f>
        <v>4.2512969733339134E-3</v>
      </c>
      <c r="N741" s="4">
        <v>0.87806023184089388</v>
      </c>
    </row>
    <row r="742" spans="1:14" x14ac:dyDescent="0.25">
      <c r="A742" s="1">
        <v>39835</v>
      </c>
      <c r="B742" s="2">
        <v>19306.73</v>
      </c>
      <c r="C742" s="2">
        <v>13.965999999999999</v>
      </c>
      <c r="D742">
        <f>LN(Table1[[#This Row],[IPC_real]]/B743)</f>
        <v>-9.8119967706613229E-3</v>
      </c>
      <c r="E742">
        <f>LN(Table1[[#This Row],[MXNUSD_real]]/C743)</f>
        <v>4.8808595317078318E-3</v>
      </c>
      <c r="N742" s="4">
        <v>0.88432511432943472</v>
      </c>
    </row>
    <row r="743" spans="1:14" x14ac:dyDescent="0.25">
      <c r="A743" s="1">
        <v>39834</v>
      </c>
      <c r="B743" s="2">
        <v>19497.099999999999</v>
      </c>
      <c r="C743" s="2">
        <v>13.898</v>
      </c>
      <c r="D743">
        <f>LN(Table1[[#This Row],[IPC_real]]/B744)</f>
        <v>1.4677562350501093E-2</v>
      </c>
      <c r="E743">
        <f>LN(Table1[[#This Row],[MXNUSD_real]]/C744)</f>
        <v>-9.8805128288331125E-3</v>
      </c>
      <c r="N743" s="4">
        <v>0.88445065458937588</v>
      </c>
    </row>
    <row r="744" spans="1:14" x14ac:dyDescent="0.25">
      <c r="A744" s="1">
        <v>39833</v>
      </c>
      <c r="B744" s="2">
        <v>19213.02</v>
      </c>
      <c r="C744" s="2">
        <v>14.036</v>
      </c>
      <c r="D744">
        <f>LN(Table1[[#This Row],[IPC_real]]/B745)</f>
        <v>-5.9623635235206099E-2</v>
      </c>
      <c r="E744">
        <f>LN(Table1[[#This Row],[MXNUSD_real]]/C745)</f>
        <v>8.6580627431145311E-3</v>
      </c>
      <c r="N744" s="4">
        <v>0.89105620367499472</v>
      </c>
    </row>
    <row r="745" spans="1:14" x14ac:dyDescent="0.25">
      <c r="A745" s="1">
        <v>39832</v>
      </c>
      <c r="B745" s="2">
        <v>20393.41</v>
      </c>
      <c r="C745" s="2">
        <v>13.914999999999999</v>
      </c>
      <c r="D745">
        <f>LN(Table1[[#This Row],[IPC_real]]/B746)</f>
        <v>3.3409660044123285E-3</v>
      </c>
      <c r="E745">
        <f>LN(Table1[[#This Row],[MXNUSD_real]]/C746)</f>
        <v>7.1890729192595007E-4</v>
      </c>
      <c r="N745" s="4">
        <v>0.88428242354098308</v>
      </c>
    </row>
    <row r="746" spans="1:14" x14ac:dyDescent="0.25">
      <c r="A746" s="1">
        <v>39829</v>
      </c>
      <c r="B746" s="2">
        <v>20325.39</v>
      </c>
      <c r="C746" s="2">
        <v>13.904999999999999</v>
      </c>
      <c r="D746">
        <f>LN(Table1[[#This Row],[IPC_real]]/B747)</f>
        <v>2.211503274872564E-3</v>
      </c>
      <c r="E746">
        <f>LN(Table1[[#This Row],[MXNUSD_real]]/C747)</f>
        <v>-4.878408412382817E-3</v>
      </c>
      <c r="N746" s="4">
        <v>0.88497292841949859</v>
      </c>
    </row>
    <row r="747" spans="1:14" x14ac:dyDescent="0.25">
      <c r="A747" s="1">
        <v>39828</v>
      </c>
      <c r="B747" s="2">
        <v>20280.490000000002</v>
      </c>
      <c r="C747" s="2">
        <v>13.973000000000001</v>
      </c>
      <c r="D747">
        <f>LN(Table1[[#This Row],[IPC_real]]/B748)</f>
        <v>-4.3660886701725205E-3</v>
      </c>
      <c r="E747">
        <f>LN(Table1[[#This Row],[MXNUSD_real]]/C748)</f>
        <v>-8.6932284677650115E-3</v>
      </c>
      <c r="N747" s="4">
        <v>0.88568690128005423</v>
      </c>
    </row>
    <row r="748" spans="1:14" x14ac:dyDescent="0.25">
      <c r="A748" s="1">
        <v>39827</v>
      </c>
      <c r="B748" s="2">
        <v>20369.23</v>
      </c>
      <c r="C748" s="2">
        <v>14.095000000000001</v>
      </c>
      <c r="D748">
        <f>LN(Table1[[#This Row],[IPC_real]]/B749)</f>
        <v>-3.274685703137991E-2</v>
      </c>
      <c r="E748">
        <f>LN(Table1[[#This Row],[MXNUSD_real]]/C749)</f>
        <v>1.6957441360886383E-2</v>
      </c>
      <c r="N748" s="4">
        <v>0.88543307734863952</v>
      </c>
    </row>
    <row r="749" spans="1:14" x14ac:dyDescent="0.25">
      <c r="A749" s="1">
        <v>39826</v>
      </c>
      <c r="B749" s="2">
        <v>21047.3</v>
      </c>
      <c r="C749" s="2">
        <v>13.858000000000001</v>
      </c>
      <c r="D749">
        <f>LN(Table1[[#This Row],[IPC_real]]/B750)</f>
        <v>-5.4475932506907188E-3</v>
      </c>
      <c r="E749">
        <f>LN(Table1[[#This Row],[MXNUSD_real]]/C750)</f>
        <v>5.2816387294295835E-3</v>
      </c>
      <c r="N749" s="4">
        <v>0.89075028035612647</v>
      </c>
    </row>
    <row r="750" spans="1:14" x14ac:dyDescent="0.25">
      <c r="A750" s="1">
        <v>39825</v>
      </c>
      <c r="B750" s="2">
        <v>21162.27</v>
      </c>
      <c r="C750" s="2">
        <v>13.785</v>
      </c>
      <c r="D750">
        <f>LN(Table1[[#This Row],[IPC_real]]/B751)</f>
        <v>-2.6993338440115269E-2</v>
      </c>
      <c r="E750">
        <f>LN(Table1[[#This Row],[MXNUSD_real]]/C751)</f>
        <v>1.0941028178208202E-2</v>
      </c>
      <c r="N750" s="4">
        <v>0.88385717048621604</v>
      </c>
    </row>
    <row r="751" spans="1:14" x14ac:dyDescent="0.25">
      <c r="A751" s="1">
        <v>39822</v>
      </c>
      <c r="B751" s="2">
        <v>21741.29</v>
      </c>
      <c r="C751" s="2">
        <v>13.635</v>
      </c>
      <c r="D751">
        <f>LN(Table1[[#This Row],[IPC_real]]/B752)</f>
        <v>-9.799905373055336E-3</v>
      </c>
      <c r="E751">
        <f>LN(Table1[[#This Row],[MXNUSD_real]]/C752)</f>
        <v>3.6671006073211827E-5</v>
      </c>
      <c r="N751" s="4">
        <v>0.88706518936807954</v>
      </c>
    </row>
    <row r="752" spans="1:14" x14ac:dyDescent="0.25">
      <c r="A752" s="1">
        <v>39821</v>
      </c>
      <c r="B752" s="2">
        <v>21955.4</v>
      </c>
      <c r="C752" s="2">
        <v>13.634499999999999</v>
      </c>
      <c r="D752">
        <f>LN(Table1[[#This Row],[IPC_real]]/B753)</f>
        <v>-7.3564795737611028E-3</v>
      </c>
      <c r="E752">
        <f>LN(Table1[[#This Row],[MXNUSD_real]]/C753)</f>
        <v>1.4740103224024007E-2</v>
      </c>
      <c r="N752" s="4">
        <v>0.88909356914011628</v>
      </c>
    </row>
    <row r="753" spans="1:14" x14ac:dyDescent="0.25">
      <c r="A753" s="1">
        <v>39820</v>
      </c>
      <c r="B753" s="2">
        <v>22117.51</v>
      </c>
      <c r="C753" s="2">
        <v>13.435</v>
      </c>
      <c r="D753">
        <f>LN(Table1[[#This Row],[IPC_real]]/B754)</f>
        <v>-3.9359803155213244E-2</v>
      </c>
      <c r="E753">
        <f>LN(Table1[[#This Row],[MXNUSD_real]]/C754)</f>
        <v>6.3468572211960936E-3</v>
      </c>
      <c r="N753" s="4">
        <v>0.89037007769065768</v>
      </c>
    </row>
    <row r="754" spans="1:14" x14ac:dyDescent="0.25">
      <c r="A754" s="1">
        <v>39819</v>
      </c>
      <c r="B754" s="2">
        <v>23005.41</v>
      </c>
      <c r="C754" s="2">
        <v>13.35</v>
      </c>
      <c r="D754">
        <f>LN(Table1[[#This Row],[IPC_real]]/B755)</f>
        <v>-1.0096471763092396E-2</v>
      </c>
      <c r="E754">
        <f>LN(Table1[[#This Row],[MXNUSD_real]]/C755)</f>
        <v>-1.0061571745434745E-2</v>
      </c>
      <c r="N754" s="4">
        <v>0.88006409512435213</v>
      </c>
    </row>
    <row r="755" spans="1:14" x14ac:dyDescent="0.25">
      <c r="A755" s="1">
        <v>39818</v>
      </c>
      <c r="B755" s="2">
        <v>23238.86</v>
      </c>
      <c r="C755" s="2">
        <v>13.484999999999999</v>
      </c>
      <c r="D755">
        <f>LN(Table1[[#This Row],[IPC_real]]/B756)</f>
        <v>-5.2054407925102909E-4</v>
      </c>
      <c r="E755">
        <f>LN(Table1[[#This Row],[MXNUSD_real]]/C756)</f>
        <v>-2.1458870183560064E-2</v>
      </c>
      <c r="N755" s="4">
        <v>0.88527018915210165</v>
      </c>
    </row>
    <row r="756" spans="1:14" x14ac:dyDescent="0.25">
      <c r="A756" s="1">
        <v>39815</v>
      </c>
      <c r="B756" s="2">
        <v>23250.959999999999</v>
      </c>
      <c r="C756" s="2">
        <v>13.7775</v>
      </c>
      <c r="D756">
        <f>LN(Table1[[#This Row],[IPC_real]]/B757)</f>
        <v>3.8164420241180802E-2</v>
      </c>
      <c r="E756">
        <f>LN(Table1[[#This Row],[MXNUSD_real]]/C757)</f>
        <v>-4.1647864636359683E-3</v>
      </c>
      <c r="N756" s="4">
        <v>0.8828598134950536</v>
      </c>
    </row>
    <row r="757" spans="1:14" x14ac:dyDescent="0.25">
      <c r="A757" s="1">
        <v>39813</v>
      </c>
      <c r="B757" s="2">
        <v>22380.32</v>
      </c>
      <c r="C757" s="2">
        <v>13.835000000000001</v>
      </c>
      <c r="D757">
        <f>LN(Table1[[#This Row],[IPC_real]]/B758)</f>
        <v>-1.7718624119010887E-3</v>
      </c>
      <c r="E757">
        <f>LN(Table1[[#This Row],[MXNUSD_real]]/C758)</f>
        <v>3.6146756222245438E-4</v>
      </c>
      <c r="N757" s="4">
        <v>0.8873225246433506</v>
      </c>
    </row>
    <row r="758" spans="1:14" x14ac:dyDescent="0.25">
      <c r="A758" s="1">
        <v>39812</v>
      </c>
      <c r="B758" s="2">
        <v>22420.01</v>
      </c>
      <c r="C758" s="2">
        <v>13.83</v>
      </c>
      <c r="D758">
        <f>LN(Table1[[#This Row],[IPC_real]]/B759)</f>
        <v>1.2331412585343954E-3</v>
      </c>
      <c r="E758">
        <f>LN(Table1[[#This Row],[MXNUSD_real]]/C759)</f>
        <v>1.5778198224136928E-2</v>
      </c>
      <c r="N758" s="4">
        <v>0.88112315747045611</v>
      </c>
    </row>
    <row r="759" spans="1:14" x14ac:dyDescent="0.25">
      <c r="A759" s="1">
        <v>39811</v>
      </c>
      <c r="B759" s="2">
        <v>22392.38</v>
      </c>
      <c r="C759" s="2">
        <v>13.6135</v>
      </c>
      <c r="D759">
        <f>LN(Table1[[#This Row],[IPC_real]]/B760)</f>
        <v>-5.4761322675539017E-3</v>
      </c>
      <c r="E759">
        <f>LN(Table1[[#This Row],[MXNUSD_real]]/C760)</f>
        <v>1.3943307057601587E-2</v>
      </c>
      <c r="N759" s="4">
        <v>0.88483229527796325</v>
      </c>
    </row>
    <row r="760" spans="1:14" x14ac:dyDescent="0.25">
      <c r="A760" s="1">
        <v>39808</v>
      </c>
      <c r="B760" s="2">
        <v>22515.34</v>
      </c>
      <c r="C760" s="2">
        <v>13.425000000000001</v>
      </c>
      <c r="D760">
        <f>LN(Table1[[#This Row],[IPC_real]]/B761)</f>
        <v>7.7867276029365325E-3</v>
      </c>
      <c r="E760">
        <f>LN(Table1[[#This Row],[MXNUSD_real]]/C761)</f>
        <v>9.7306156999452317E-3</v>
      </c>
      <c r="N760" s="4">
        <v>0.89080755641268672</v>
      </c>
    </row>
    <row r="761" spans="1:14" x14ac:dyDescent="0.25">
      <c r="A761" s="1">
        <v>39806</v>
      </c>
      <c r="B761" s="2">
        <v>22340.7</v>
      </c>
      <c r="C761" s="2">
        <v>13.295</v>
      </c>
      <c r="D761">
        <f>LN(Table1[[#This Row],[IPC_real]]/B762)</f>
        <v>7.4779703546961921E-3</v>
      </c>
      <c r="E761">
        <f>LN(Table1[[#This Row],[MXNUSD_real]]/C762)</f>
        <v>-1.353800797801409E-4</v>
      </c>
      <c r="N761" s="4">
        <v>0.89404818220440596</v>
      </c>
    </row>
    <row r="762" spans="1:14" x14ac:dyDescent="0.25">
      <c r="A762" s="1">
        <v>39805</v>
      </c>
      <c r="B762" s="2">
        <v>22174.26</v>
      </c>
      <c r="C762" s="2">
        <v>13.296799999999999</v>
      </c>
      <c r="D762">
        <f>LN(Table1[[#This Row],[IPC_real]]/B763)</f>
        <v>5.2033149420078551E-3</v>
      </c>
      <c r="E762">
        <f>LN(Table1[[#This Row],[MXNUSD_real]]/C763)</f>
        <v>8.5952839989303954E-3</v>
      </c>
      <c r="N762" s="4">
        <v>0.88884535679520804</v>
      </c>
    </row>
    <row r="763" spans="1:14" x14ac:dyDescent="0.25">
      <c r="A763" s="1">
        <v>39804</v>
      </c>
      <c r="B763" s="2">
        <v>22059.18</v>
      </c>
      <c r="C763" s="2">
        <v>13.183</v>
      </c>
      <c r="D763">
        <f>LN(Table1[[#This Row],[IPC_real]]/B764)</f>
        <v>-7.3377470849679358E-3</v>
      </c>
      <c r="E763">
        <f>LN(Table1[[#This Row],[MXNUSD_real]]/C764)</f>
        <v>5.9342840004632724E-3</v>
      </c>
      <c r="N763" s="4">
        <v>0.8872003677672895</v>
      </c>
    </row>
    <row r="764" spans="1:14" x14ac:dyDescent="0.25">
      <c r="A764" s="1">
        <v>39801</v>
      </c>
      <c r="B764" s="2">
        <v>22221.64</v>
      </c>
      <c r="C764" s="2">
        <v>13.105</v>
      </c>
      <c r="D764">
        <f>LN(Table1[[#This Row],[IPC_real]]/B765)</f>
        <v>-5.6331022498165911E-3</v>
      </c>
      <c r="E764">
        <f>LN(Table1[[#This Row],[MXNUSD_real]]/C765)</f>
        <v>-4.5679561729029643E-3</v>
      </c>
      <c r="N764" s="4">
        <v>0.88063156235369933</v>
      </c>
    </row>
    <row r="765" spans="1:14" x14ac:dyDescent="0.25">
      <c r="A765" s="1">
        <v>39800</v>
      </c>
      <c r="B765" s="2">
        <v>22347.17</v>
      </c>
      <c r="C765" s="2">
        <v>13.164999999999999</v>
      </c>
      <c r="D765">
        <f>LN(Table1[[#This Row],[IPC_real]]/B766)</f>
        <v>-1.0032660081089415E-2</v>
      </c>
      <c r="E765">
        <f>LN(Table1[[#This Row],[MXNUSD_real]]/C766)</f>
        <v>2.8906151270021627E-3</v>
      </c>
      <c r="N765" s="4">
        <v>0.88149547728688304</v>
      </c>
    </row>
    <row r="766" spans="1:14" x14ac:dyDescent="0.25">
      <c r="A766" s="1">
        <v>39799</v>
      </c>
      <c r="B766" s="2">
        <v>22572.5</v>
      </c>
      <c r="C766" s="2">
        <v>13.127000000000001</v>
      </c>
      <c r="D766">
        <f>LN(Table1[[#This Row],[IPC_real]]/B767)</f>
        <v>2.421189970963699E-2</v>
      </c>
      <c r="E766">
        <f>LN(Table1[[#This Row],[MXNUSD_real]]/C767)</f>
        <v>-2.5107480759007381E-3</v>
      </c>
      <c r="N766" s="4">
        <v>0.88339287041117909</v>
      </c>
    </row>
    <row r="767" spans="1:14" x14ac:dyDescent="0.25">
      <c r="A767" s="1">
        <v>39798</v>
      </c>
      <c r="B767" s="2">
        <v>22032.54</v>
      </c>
      <c r="C767" s="2">
        <v>13.16</v>
      </c>
      <c r="D767">
        <f>LN(Table1[[#This Row],[IPC_real]]/B768)</f>
        <v>4.5593763436773925E-2</v>
      </c>
      <c r="E767">
        <f>LN(Table1[[#This Row],[MXNUSD_real]]/C768)</f>
        <v>-1.1709293368724345E-2</v>
      </c>
      <c r="N767" s="4">
        <v>0.88738697316419035</v>
      </c>
    </row>
    <row r="768" spans="1:14" x14ac:dyDescent="0.25">
      <c r="A768" s="1">
        <v>39797</v>
      </c>
      <c r="B768" s="2">
        <v>21050.55</v>
      </c>
      <c r="C768" s="2">
        <v>13.315</v>
      </c>
      <c r="D768">
        <f>LN(Table1[[#This Row],[IPC_real]]/B769)</f>
        <v>-1.6854344787488137E-2</v>
      </c>
      <c r="E768">
        <f>LN(Table1[[#This Row],[MXNUSD_real]]/C769)</f>
        <v>9.5459815206265144E-3</v>
      </c>
      <c r="N768" s="4">
        <v>0.88388411424491897</v>
      </c>
    </row>
    <row r="769" spans="1:14" x14ac:dyDescent="0.25">
      <c r="A769" s="1">
        <v>39793</v>
      </c>
      <c r="B769" s="2">
        <v>21408.35</v>
      </c>
      <c r="C769" s="2">
        <v>13.188499999999999</v>
      </c>
      <c r="D769">
        <f>LN(Table1[[#This Row],[IPC_real]]/B770)</f>
        <v>-1.3062915299723622E-2</v>
      </c>
      <c r="E769">
        <f>LN(Table1[[#This Row],[MXNUSD_real]]/C770)</f>
        <v>-2.1268219754701848E-2</v>
      </c>
      <c r="N769" s="4">
        <v>0.88500275470183198</v>
      </c>
    </row>
    <row r="770" spans="1:14" x14ac:dyDescent="0.25">
      <c r="A770" s="1">
        <v>39792</v>
      </c>
      <c r="B770" s="2">
        <v>21689.84</v>
      </c>
      <c r="C770" s="2">
        <v>13.472</v>
      </c>
      <c r="D770">
        <f>LN(Table1[[#This Row],[IPC_real]]/B771)</f>
        <v>1.1601936697810792E-2</v>
      </c>
      <c r="E770">
        <f>LN(Table1[[#This Row],[MXNUSD_real]]/C771)</f>
        <v>-7.9110242166868568E-3</v>
      </c>
      <c r="N770" s="4">
        <v>0.88898595597098784</v>
      </c>
    </row>
    <row r="771" spans="1:14" x14ac:dyDescent="0.25">
      <c r="A771" s="1">
        <v>39791</v>
      </c>
      <c r="B771" s="2">
        <v>21439.65</v>
      </c>
      <c r="C771" s="2">
        <v>13.579000000000001</v>
      </c>
      <c r="D771">
        <f>LN(Table1[[#This Row],[IPC_real]]/B772)</f>
        <v>1.271739104289501E-2</v>
      </c>
      <c r="E771">
        <f>LN(Table1[[#This Row],[MXNUSD_real]]/C772)</f>
        <v>1.0586809966611346E-2</v>
      </c>
      <c r="N771" s="4">
        <v>0.88622699529007543</v>
      </c>
    </row>
    <row r="772" spans="1:14" x14ac:dyDescent="0.25">
      <c r="A772" s="1">
        <v>39790</v>
      </c>
      <c r="B772" s="2">
        <v>21168.720000000001</v>
      </c>
      <c r="C772" s="2">
        <v>13.436</v>
      </c>
      <c r="D772">
        <f>LN(Table1[[#This Row],[IPC_real]]/B773)</f>
        <v>5.2709194270480327E-2</v>
      </c>
      <c r="E772">
        <f>LN(Table1[[#This Row],[MXNUSD_real]]/C773)</f>
        <v>-2.0187821824176774E-2</v>
      </c>
      <c r="N772" s="4">
        <v>0.88825846171667033</v>
      </c>
    </row>
    <row r="773" spans="1:14" x14ac:dyDescent="0.25">
      <c r="A773" s="1">
        <v>39787</v>
      </c>
      <c r="B773" s="2">
        <v>20081.830000000002</v>
      </c>
      <c r="C773" s="2">
        <v>13.71</v>
      </c>
      <c r="D773">
        <f>LN(Table1[[#This Row],[IPC_real]]/B774)</f>
        <v>8.2814531187654014E-3</v>
      </c>
      <c r="E773">
        <f>LN(Table1[[#This Row],[MXNUSD_real]]/C774)</f>
        <v>1.2772690710355597E-2</v>
      </c>
      <c r="N773" s="4">
        <v>0.89132028843307243</v>
      </c>
    </row>
    <row r="774" spans="1:14" x14ac:dyDescent="0.25">
      <c r="A774" s="1">
        <v>39786</v>
      </c>
      <c r="B774" s="2">
        <v>19916.21</v>
      </c>
      <c r="C774" s="2">
        <v>13.536</v>
      </c>
      <c r="D774">
        <f>LN(Table1[[#This Row],[IPC_real]]/B775)</f>
        <v>-1.1521917275116337E-2</v>
      </c>
      <c r="E774">
        <f>LN(Table1[[#This Row],[MXNUSD_real]]/C775)</f>
        <v>-8.0203512964342853E-3</v>
      </c>
      <c r="N774" s="4">
        <v>0.88347333372624759</v>
      </c>
    </row>
    <row r="775" spans="1:14" x14ac:dyDescent="0.25">
      <c r="A775" s="1">
        <v>39785</v>
      </c>
      <c r="B775" s="2">
        <v>20147.009999999998</v>
      </c>
      <c r="C775" s="2">
        <v>13.645</v>
      </c>
      <c r="D775">
        <f>LN(Table1[[#This Row],[IPC_real]]/B776)</f>
        <v>1.7259312691730783E-2</v>
      </c>
      <c r="E775">
        <f>LN(Table1[[#This Row],[MXNUSD_real]]/C776)</f>
        <v>5.4379910610682361E-3</v>
      </c>
      <c r="N775" s="4">
        <v>0.89399973991140758</v>
      </c>
    </row>
    <row r="776" spans="1:14" x14ac:dyDescent="0.25">
      <c r="A776" s="1">
        <v>39784</v>
      </c>
      <c r="B776" s="2">
        <v>19802.27</v>
      </c>
      <c r="C776" s="2">
        <v>13.571</v>
      </c>
      <c r="D776">
        <f>LN(Table1[[#This Row],[IPC_real]]/B777)</f>
        <v>1.3687139046253323E-2</v>
      </c>
      <c r="E776">
        <f>LN(Table1[[#This Row],[MXNUSD_real]]/C777)</f>
        <v>-9.9427380178252855E-4</v>
      </c>
      <c r="N776" s="4">
        <v>0.89011519282350804</v>
      </c>
    </row>
    <row r="777" spans="1:14" x14ac:dyDescent="0.25">
      <c r="A777" s="1">
        <v>39783</v>
      </c>
      <c r="B777" s="2">
        <v>19533.080000000002</v>
      </c>
      <c r="C777" s="2">
        <v>13.5845</v>
      </c>
      <c r="D777">
        <f>LN(Table1[[#This Row],[IPC_real]]/B778)</f>
        <v>-5.0007673511203485E-2</v>
      </c>
      <c r="E777">
        <f>LN(Table1[[#This Row],[MXNUSD_real]]/C778)</f>
        <v>1.3674729944150515E-2</v>
      </c>
      <c r="N777" s="4">
        <v>0.88301681022103506</v>
      </c>
    </row>
    <row r="778" spans="1:14" x14ac:dyDescent="0.25">
      <c r="A778" s="1">
        <v>39780</v>
      </c>
      <c r="B778" s="2">
        <v>20534.72</v>
      </c>
      <c r="C778" s="2">
        <v>13.4</v>
      </c>
      <c r="D778">
        <f>LN(Table1[[#This Row],[IPC_real]]/B779)</f>
        <v>1.6344412700294467E-2</v>
      </c>
      <c r="E778">
        <f>LN(Table1[[#This Row],[MXNUSD_real]]/C779)</f>
        <v>1.6478308226537165E-2</v>
      </c>
      <c r="N778" s="4">
        <v>0.89372159227750403</v>
      </c>
    </row>
    <row r="779" spans="1:14" x14ac:dyDescent="0.25">
      <c r="A779" s="1">
        <v>39779</v>
      </c>
      <c r="B779" s="2">
        <v>20201.82</v>
      </c>
      <c r="C779" s="2">
        <v>13.180999999999999</v>
      </c>
      <c r="D779">
        <f>LN(Table1[[#This Row],[IPC_real]]/B780)</f>
        <v>8.7517564954812076E-3</v>
      </c>
      <c r="E779">
        <f>LN(Table1[[#This Row],[MXNUSD_real]]/C780)</f>
        <v>-6.0675011341916488E-4</v>
      </c>
      <c r="N779" s="4">
        <v>0.88203465074322951</v>
      </c>
    </row>
    <row r="780" spans="1:14" x14ac:dyDescent="0.25">
      <c r="A780" s="1">
        <v>39778</v>
      </c>
      <c r="B780" s="2">
        <v>20025.79</v>
      </c>
      <c r="C780" s="2">
        <v>13.189</v>
      </c>
      <c r="D780">
        <f>LN(Table1[[#This Row],[IPC_real]]/B781)</f>
        <v>3.7038652419810872E-2</v>
      </c>
      <c r="E780">
        <f>LN(Table1[[#This Row],[MXNUSD_real]]/C781)</f>
        <v>-6.1226995003683896E-3</v>
      </c>
      <c r="N780" s="4">
        <v>0.89015102858941597</v>
      </c>
    </row>
    <row r="781" spans="1:14" x14ac:dyDescent="0.25">
      <c r="A781" s="1">
        <v>39777</v>
      </c>
      <c r="B781" s="2">
        <v>19297.63</v>
      </c>
      <c r="C781" s="2">
        <v>13.27</v>
      </c>
      <c r="D781">
        <f>LN(Table1[[#This Row],[IPC_real]]/B782)</f>
        <v>-1.1931051250341062E-2</v>
      </c>
      <c r="E781">
        <f>LN(Table1[[#This Row],[MXNUSD_real]]/C782)</f>
        <v>-1.4587877919446133E-2</v>
      </c>
      <c r="N781" s="4">
        <v>0.88520636713519263</v>
      </c>
    </row>
    <row r="782" spans="1:14" x14ac:dyDescent="0.25">
      <c r="A782" s="1">
        <v>39776</v>
      </c>
      <c r="B782" s="2">
        <v>19529.25</v>
      </c>
      <c r="C782" s="2">
        <v>13.465</v>
      </c>
      <c r="D782">
        <f>LN(Table1[[#This Row],[IPC_real]]/B783)</f>
        <v>6.7671004375385202E-2</v>
      </c>
      <c r="E782">
        <f>LN(Table1[[#This Row],[MXNUSD_real]]/C783)</f>
        <v>-2.6565636623133899E-2</v>
      </c>
      <c r="N782" s="4">
        <v>0.88770601782700675</v>
      </c>
    </row>
    <row r="783" spans="1:14" x14ac:dyDescent="0.25">
      <c r="A783" s="1">
        <v>39773</v>
      </c>
      <c r="B783" s="2">
        <v>18251.41</v>
      </c>
      <c r="C783" s="2">
        <v>13.827500000000001</v>
      </c>
      <c r="D783">
        <f>LN(Table1[[#This Row],[IPC_real]]/B784)</f>
        <v>3.3318628456676593E-3</v>
      </c>
      <c r="E783">
        <f>LN(Table1[[#This Row],[MXNUSD_real]]/C784)</f>
        <v>2.3531552174467772E-3</v>
      </c>
      <c r="N783" s="4">
        <v>0.88162000140988062</v>
      </c>
    </row>
    <row r="784" spans="1:14" x14ac:dyDescent="0.25">
      <c r="A784" s="1">
        <v>39772</v>
      </c>
      <c r="B784" s="2">
        <v>18190.7</v>
      </c>
      <c r="C784" s="2">
        <v>13.795</v>
      </c>
      <c r="D784">
        <f>LN(Table1[[#This Row],[IPC_real]]/B785)</f>
        <v>-2.1088064584544392E-2</v>
      </c>
      <c r="E784">
        <f>LN(Table1[[#This Row],[MXNUSD_real]]/C785)</f>
        <v>4.4468237713962043E-2</v>
      </c>
      <c r="N784" s="4">
        <v>0.8802958244568273</v>
      </c>
    </row>
    <row r="785" spans="1:14" x14ac:dyDescent="0.25">
      <c r="A785" s="1">
        <v>39771</v>
      </c>
      <c r="B785" s="2">
        <v>18578.38</v>
      </c>
      <c r="C785" s="2">
        <v>13.195</v>
      </c>
      <c r="D785">
        <f>LN(Table1[[#This Row],[IPC_real]]/B786)</f>
        <v>-2.4345466499189956E-2</v>
      </c>
      <c r="E785">
        <f>LN(Table1[[#This Row],[MXNUSD_real]]/C786)</f>
        <v>2.4281065120167256E-3</v>
      </c>
      <c r="N785" s="4">
        <v>0.8875626218767767</v>
      </c>
    </row>
    <row r="786" spans="1:14" x14ac:dyDescent="0.25">
      <c r="A786" s="1">
        <v>39770</v>
      </c>
      <c r="B786" s="2">
        <v>19036.23</v>
      </c>
      <c r="C786" s="2">
        <v>13.163</v>
      </c>
      <c r="D786">
        <f>LN(Table1[[#This Row],[IPC_real]]/B787)</f>
        <v>-2.7252060019013702E-2</v>
      </c>
      <c r="E786">
        <f>LN(Table1[[#This Row],[MXNUSD_real]]/C787)</f>
        <v>1.6314075297724058E-2</v>
      </c>
      <c r="N786" s="4">
        <v>0.8895192134389025</v>
      </c>
    </row>
    <row r="787" spans="1:14" x14ac:dyDescent="0.25">
      <c r="A787" s="1">
        <v>39766</v>
      </c>
      <c r="B787" s="2">
        <v>19562.14</v>
      </c>
      <c r="C787" s="2">
        <v>12.95</v>
      </c>
      <c r="D787">
        <f>LN(Table1[[#This Row],[IPC_real]]/B788)</f>
        <v>-7.5351291433433717E-3</v>
      </c>
      <c r="E787">
        <f>LN(Table1[[#This Row],[MXNUSD_real]]/C788)</f>
        <v>-1.2432053295981861E-2</v>
      </c>
      <c r="N787" s="4">
        <v>0.89217963382434828</v>
      </c>
    </row>
    <row r="788" spans="1:14" x14ac:dyDescent="0.25">
      <c r="A788" s="1">
        <v>39765</v>
      </c>
      <c r="B788" s="2">
        <v>19710.099999999999</v>
      </c>
      <c r="C788" s="2">
        <v>13.112</v>
      </c>
      <c r="D788">
        <f>LN(Table1[[#This Row],[IPC_real]]/B789)</f>
        <v>4.7011061667033255E-2</v>
      </c>
      <c r="E788">
        <f>LN(Table1[[#This Row],[MXNUSD_real]]/C789)</f>
        <v>6.6572538020980244E-3</v>
      </c>
      <c r="N788" s="4">
        <v>0.8952751205695576</v>
      </c>
    </row>
    <row r="789" spans="1:14" x14ac:dyDescent="0.25">
      <c r="A789" s="1">
        <v>39764</v>
      </c>
      <c r="B789" s="2">
        <v>18804.95</v>
      </c>
      <c r="C789" s="2">
        <v>13.025</v>
      </c>
      <c r="D789">
        <f>LN(Table1[[#This Row],[IPC_real]]/B790)</f>
        <v>-5.1321876878782459E-2</v>
      </c>
      <c r="E789">
        <f>LN(Table1[[#This Row],[MXNUSD_real]]/C790)</f>
        <v>6.9337720014380723E-3</v>
      </c>
      <c r="N789" s="4">
        <v>0.8864371477920413</v>
      </c>
    </row>
    <row r="790" spans="1:14" x14ac:dyDescent="0.25">
      <c r="A790" s="1">
        <v>39763</v>
      </c>
      <c r="B790" s="2">
        <v>19795.25</v>
      </c>
      <c r="C790" s="2">
        <v>12.935</v>
      </c>
      <c r="D790">
        <f>LN(Table1[[#This Row],[IPC_real]]/B791)</f>
        <v>-1.1316237132905463E-2</v>
      </c>
      <c r="E790">
        <f>LN(Table1[[#This Row],[MXNUSD_real]]/C791)</f>
        <v>9.2424253119891102E-3</v>
      </c>
      <c r="N790" s="4">
        <v>0.86384801498514685</v>
      </c>
    </row>
    <row r="791" spans="1:14" x14ac:dyDescent="0.25">
      <c r="A791" s="1">
        <v>39762</v>
      </c>
      <c r="B791" s="2">
        <v>20020.53</v>
      </c>
      <c r="C791" s="2">
        <v>12.816000000000001</v>
      </c>
      <c r="D791">
        <f>LN(Table1[[#This Row],[IPC_real]]/B792)</f>
        <v>7.7877831032990893E-3</v>
      </c>
      <c r="E791">
        <f>LN(Table1[[#This Row],[MXNUSD_real]]/C792)</f>
        <v>4.7710387322286961E-3</v>
      </c>
      <c r="N791" s="4">
        <v>0.88640794862631334</v>
      </c>
    </row>
    <row r="792" spans="1:14" x14ac:dyDescent="0.25">
      <c r="A792" s="1">
        <v>39759</v>
      </c>
      <c r="B792" s="2">
        <v>19865.22</v>
      </c>
      <c r="C792" s="2">
        <v>12.755000000000001</v>
      </c>
      <c r="D792">
        <f>LN(Table1[[#This Row],[IPC_real]]/B793)</f>
        <v>1.0849360698952275E-2</v>
      </c>
      <c r="E792">
        <f>LN(Table1[[#This Row],[MXNUSD_real]]/C793)</f>
        <v>-2.4396176042355777E-2</v>
      </c>
      <c r="N792" s="4">
        <v>0.88037488728150426</v>
      </c>
    </row>
    <row r="793" spans="1:14" x14ac:dyDescent="0.25">
      <c r="A793" s="1">
        <v>39758</v>
      </c>
      <c r="B793" s="2">
        <v>19650.86</v>
      </c>
      <c r="C793" s="2">
        <v>13.07</v>
      </c>
      <c r="D793">
        <f>LN(Table1[[#This Row],[IPC_real]]/B794)</f>
        <v>-3.970382054284665E-2</v>
      </c>
      <c r="E793">
        <f>LN(Table1[[#This Row],[MXNUSD_real]]/C794)</f>
        <v>3.3215825306369878E-2</v>
      </c>
      <c r="N793" s="4">
        <v>0.89154038482483733</v>
      </c>
    </row>
    <row r="794" spans="1:14" x14ac:dyDescent="0.25">
      <c r="A794" s="1">
        <v>39757</v>
      </c>
      <c r="B794" s="2">
        <v>20446.77</v>
      </c>
      <c r="C794" s="2">
        <v>12.643000000000001</v>
      </c>
      <c r="D794">
        <f>LN(Table1[[#This Row],[IPC_real]]/B795)</f>
        <v>-5.1867132353029567E-2</v>
      </c>
      <c r="E794">
        <f>LN(Table1[[#This Row],[MXNUSD_real]]/C795)</f>
        <v>9.177474478017986E-3</v>
      </c>
      <c r="N794" s="4">
        <v>0.88470333422555936</v>
      </c>
    </row>
    <row r="795" spans="1:14" x14ac:dyDescent="0.25">
      <c r="A795" s="1">
        <v>39756</v>
      </c>
      <c r="B795" s="2">
        <v>21535.27</v>
      </c>
      <c r="C795" s="2">
        <v>12.5275</v>
      </c>
      <c r="D795">
        <f>LN(Table1[[#This Row],[IPC_real]]/B796)</f>
        <v>4.3785635743975496E-2</v>
      </c>
      <c r="E795">
        <f>LN(Table1[[#This Row],[MXNUSD_real]]/C796)</f>
        <v>-2.5028402710104279E-2</v>
      </c>
      <c r="N795" s="4">
        <v>0.88458792871259406</v>
      </c>
    </row>
    <row r="796" spans="1:14" x14ac:dyDescent="0.25">
      <c r="A796" s="1">
        <v>39755</v>
      </c>
      <c r="B796" s="2">
        <v>20612.68</v>
      </c>
      <c r="C796" s="2">
        <v>12.845000000000001</v>
      </c>
      <c r="D796">
        <f>LN(Table1[[#This Row],[IPC_real]]/B797)</f>
        <v>8.152414970067667E-3</v>
      </c>
      <c r="E796">
        <f>LN(Table1[[#This Row],[MXNUSD_real]]/C797)</f>
        <v>-3.8918077938179319E-4</v>
      </c>
      <c r="N796" s="4">
        <v>0.88360513729764789</v>
      </c>
    </row>
    <row r="797" spans="1:14" x14ac:dyDescent="0.25">
      <c r="A797" s="1">
        <v>39752</v>
      </c>
      <c r="B797" s="2">
        <v>20445.32</v>
      </c>
      <c r="C797" s="2">
        <v>12.85</v>
      </c>
      <c r="D797">
        <f>LN(Table1[[#This Row],[IPC_real]]/B798)</f>
        <v>1.1723936655817606E-2</v>
      </c>
      <c r="E797">
        <f>LN(Table1[[#This Row],[MXNUSD_real]]/C798)</f>
        <v>1.7664836179805299E-2</v>
      </c>
      <c r="N797" s="4">
        <v>0.88547753436505239</v>
      </c>
    </row>
    <row r="798" spans="1:14" x14ac:dyDescent="0.25">
      <c r="A798" s="1">
        <v>39751</v>
      </c>
      <c r="B798" s="2">
        <v>20207.02</v>
      </c>
      <c r="C798" s="2">
        <v>12.625</v>
      </c>
      <c r="D798">
        <f>LN(Table1[[#This Row],[IPC_real]]/B799)</f>
        <v>5.3344658773057635E-2</v>
      </c>
      <c r="E798">
        <f>LN(Table1[[#This Row],[MXNUSD_real]]/C799)</f>
        <v>-2.0772841789672567E-2</v>
      </c>
      <c r="N798" s="4">
        <v>0.89477043269094303</v>
      </c>
    </row>
    <row r="799" spans="1:14" x14ac:dyDescent="0.25">
      <c r="A799" s="1">
        <v>39750</v>
      </c>
      <c r="B799" s="2">
        <v>19157.330000000002</v>
      </c>
      <c r="C799" s="2">
        <v>12.89</v>
      </c>
      <c r="D799">
        <f>LN(Table1[[#This Row],[IPC_real]]/B800)</f>
        <v>2.7776432151524675E-2</v>
      </c>
      <c r="E799">
        <f>LN(Table1[[#This Row],[MXNUSD_real]]/C800)</f>
        <v>-9.6507214954327306E-3</v>
      </c>
      <c r="N799" s="4">
        <v>0.87120719954563552</v>
      </c>
    </row>
    <row r="800" spans="1:14" x14ac:dyDescent="0.25">
      <c r="A800" s="1">
        <v>39749</v>
      </c>
      <c r="B800" s="2">
        <v>18632.53</v>
      </c>
      <c r="C800" s="2">
        <v>13.015000000000001</v>
      </c>
      <c r="D800">
        <f>LN(Table1[[#This Row],[IPC_real]]/B801)</f>
        <v>9.812626607190382E-2</v>
      </c>
      <c r="E800">
        <f>LN(Table1[[#This Row],[MXNUSD_real]]/C801)</f>
        <v>-3.053181337745766E-2</v>
      </c>
      <c r="N800" s="4">
        <v>0.88363326049075941</v>
      </c>
    </row>
    <row r="801" spans="1:14" x14ac:dyDescent="0.25">
      <c r="A801" s="1">
        <v>39748</v>
      </c>
      <c r="B801" s="2">
        <v>16891.03</v>
      </c>
      <c r="C801" s="2">
        <v>13.4185</v>
      </c>
      <c r="D801">
        <f>LN(Table1[[#This Row],[IPC_real]]/B802)</f>
        <v>-5.185151093682676E-3</v>
      </c>
      <c r="E801">
        <f>LN(Table1[[#This Row],[MXNUSD_real]]/C802)</f>
        <v>-7.2398170280570931E-3</v>
      </c>
      <c r="N801" s="4">
        <v>0.89492001545044708</v>
      </c>
    </row>
    <row r="802" spans="1:14" x14ac:dyDescent="0.25">
      <c r="A802" s="1">
        <v>39745</v>
      </c>
      <c r="B802" s="2">
        <v>16978.84</v>
      </c>
      <c r="C802" s="2">
        <v>13.516</v>
      </c>
      <c r="D802">
        <f>LN(Table1[[#This Row],[IPC_real]]/B803)</f>
        <v>-4.7173851231050751E-2</v>
      </c>
      <c r="E802">
        <f>LN(Table1[[#This Row],[MXNUSD_real]]/C803)</f>
        <v>-8.3990768563977757E-3</v>
      </c>
      <c r="N802" s="4">
        <v>0.88748171565015599</v>
      </c>
    </row>
    <row r="803" spans="1:14" x14ac:dyDescent="0.25">
      <c r="A803" s="1">
        <v>39744</v>
      </c>
      <c r="B803" s="2">
        <v>17798.990000000002</v>
      </c>
      <c r="C803" s="2">
        <v>13.63</v>
      </c>
      <c r="D803">
        <f>LN(Table1[[#This Row],[IPC_real]]/B804)</f>
        <v>-5.4041524626955259E-2</v>
      </c>
      <c r="E803">
        <f>LN(Table1[[#This Row],[MXNUSD_real]]/C804)</f>
        <v>2.79186133881038E-3</v>
      </c>
      <c r="N803" s="4">
        <v>0.87971904008176793</v>
      </c>
    </row>
    <row r="804" spans="1:14" x14ac:dyDescent="0.25">
      <c r="A804" s="1">
        <v>39743</v>
      </c>
      <c r="B804" s="2">
        <v>18787.34</v>
      </c>
      <c r="C804" s="2">
        <v>13.592000000000001</v>
      </c>
      <c r="D804">
        <f>LN(Table1[[#This Row],[IPC_real]]/B805)</f>
        <v>-7.2661233751835114E-2</v>
      </c>
      <c r="E804">
        <f>LN(Table1[[#This Row],[MXNUSD_real]]/C805)</f>
        <v>3.9621028701466922E-2</v>
      </c>
      <c r="N804" s="4">
        <v>0.8938729722739498</v>
      </c>
    </row>
    <row r="805" spans="1:14" x14ac:dyDescent="0.25">
      <c r="A805" s="1">
        <v>39742</v>
      </c>
      <c r="B805" s="2">
        <v>20203.27</v>
      </c>
      <c r="C805" s="2">
        <v>13.064</v>
      </c>
      <c r="D805">
        <f>LN(Table1[[#This Row],[IPC_real]]/B806)</f>
        <v>-2.8445313575174453E-2</v>
      </c>
      <c r="E805">
        <f>LN(Table1[[#This Row],[MXNUSD_real]]/C806)</f>
        <v>9.5370665954094356E-3</v>
      </c>
      <c r="N805" s="4">
        <v>0.89067732054552862</v>
      </c>
    </row>
    <row r="806" spans="1:14" x14ac:dyDescent="0.25">
      <c r="A806" s="1">
        <v>39741</v>
      </c>
      <c r="B806" s="2">
        <v>20786.21</v>
      </c>
      <c r="C806" s="2">
        <v>12.94</v>
      </c>
      <c r="D806">
        <f>LN(Table1[[#This Row],[IPC_real]]/B807)</f>
        <v>2.3037079957271545E-2</v>
      </c>
      <c r="E806">
        <f>LN(Table1[[#This Row],[MXNUSD_real]]/C807)</f>
        <v>1.3616238379307305E-2</v>
      </c>
      <c r="N806" s="4">
        <v>0.8961356477085306</v>
      </c>
    </row>
    <row r="807" spans="1:14" x14ac:dyDescent="0.25">
      <c r="A807" s="1">
        <v>39738</v>
      </c>
      <c r="B807" s="2">
        <v>20312.830000000002</v>
      </c>
      <c r="C807" s="2">
        <v>12.765000000000001</v>
      </c>
      <c r="D807">
        <f>LN(Table1[[#This Row],[IPC_real]]/B808)</f>
        <v>-7.1178762727821272E-3</v>
      </c>
      <c r="E807">
        <f>LN(Table1[[#This Row],[MXNUSD_real]]/C808)</f>
        <v>-2.1697867895244499E-2</v>
      </c>
      <c r="N807" s="4">
        <v>0.88989367326824953</v>
      </c>
    </row>
    <row r="808" spans="1:14" x14ac:dyDescent="0.25">
      <c r="A808" s="1">
        <v>39737</v>
      </c>
      <c r="B808" s="2">
        <v>20457.93</v>
      </c>
      <c r="C808" s="2">
        <v>13.045</v>
      </c>
      <c r="D808">
        <f>LN(Table1[[#This Row],[IPC_real]]/B809)</f>
        <v>-3.2579723686507835E-2</v>
      </c>
      <c r="E808">
        <f>LN(Table1[[#This Row],[MXNUSD_real]]/C809)</f>
        <v>2.4050810157271448E-2</v>
      </c>
      <c r="N808" s="4">
        <v>0.8902746385049527</v>
      </c>
    </row>
    <row r="809" spans="1:14" x14ac:dyDescent="0.25">
      <c r="A809" s="1">
        <v>39736</v>
      </c>
      <c r="B809" s="2">
        <v>21135.42</v>
      </c>
      <c r="C809" s="2">
        <v>12.734999999999999</v>
      </c>
      <c r="D809">
        <f>LN(Table1[[#This Row],[IPC_real]]/B810)</f>
        <v>-5.114942600352252E-2</v>
      </c>
      <c r="E809">
        <f>LN(Table1[[#This Row],[MXNUSD_real]]/C810)</f>
        <v>1.862546412316482E-2</v>
      </c>
      <c r="N809" s="4">
        <v>0.8862657436420408</v>
      </c>
    </row>
    <row r="810" spans="1:14" x14ac:dyDescent="0.25">
      <c r="A810" s="1">
        <v>39735</v>
      </c>
      <c r="B810" s="2">
        <v>22244.61</v>
      </c>
      <c r="C810" s="2">
        <v>12.5</v>
      </c>
      <c r="D810">
        <f>LN(Table1[[#This Row],[IPC_real]]/B811)</f>
        <v>6.7081136967141871E-3</v>
      </c>
      <c r="E810">
        <f>LN(Table1[[#This Row],[MXNUSD_real]]/C811)</f>
        <v>7.6290271644912314E-3</v>
      </c>
      <c r="N810" s="4">
        <v>0.86715008480792566</v>
      </c>
    </row>
    <row r="811" spans="1:14" x14ac:dyDescent="0.25">
      <c r="A811" s="1">
        <v>39734</v>
      </c>
      <c r="B811" s="2">
        <v>22095.89</v>
      </c>
      <c r="C811" s="2">
        <v>12.404999999999999</v>
      </c>
      <c r="D811">
        <f>LN(Table1[[#This Row],[IPC_real]]/B812)</f>
        <v>0.10440709758660151</v>
      </c>
      <c r="E811">
        <f>LN(Table1[[#This Row],[MXNUSD_real]]/C812)</f>
        <v>-5.7561395912700167E-2</v>
      </c>
      <c r="N811" s="4">
        <v>0.88347721317726691</v>
      </c>
    </row>
    <row r="812" spans="1:14" x14ac:dyDescent="0.25">
      <c r="A812" s="1">
        <v>39731</v>
      </c>
      <c r="B812" s="2">
        <v>19905.27</v>
      </c>
      <c r="C812" s="2">
        <v>13.14</v>
      </c>
      <c r="D812">
        <f>LN(Table1[[#This Row],[IPC_real]]/B813)</f>
        <v>-2.013870211830603E-2</v>
      </c>
      <c r="E812">
        <f>LN(Table1[[#This Row],[MXNUSD_real]]/C813)</f>
        <v>4.7694873808017242E-2</v>
      </c>
      <c r="N812" s="4">
        <v>0.88164705573212976</v>
      </c>
    </row>
    <row r="813" spans="1:14" x14ac:dyDescent="0.25">
      <c r="A813" s="1">
        <v>39730</v>
      </c>
      <c r="B813" s="2">
        <v>20310.2</v>
      </c>
      <c r="C813" s="2">
        <v>12.528</v>
      </c>
      <c r="D813">
        <f>LN(Table1[[#This Row],[IPC_real]]/B814)</f>
        <v>-1.7994018913799415E-2</v>
      </c>
      <c r="E813">
        <f>LN(Table1[[#This Row],[MXNUSD_real]]/C814)</f>
        <v>2.4892185504997999E-2</v>
      </c>
      <c r="N813" s="4">
        <v>0.89410863842271093</v>
      </c>
    </row>
    <row r="814" spans="1:14" x14ac:dyDescent="0.25">
      <c r="A814" s="1">
        <v>39729</v>
      </c>
      <c r="B814" s="2">
        <v>20678.97</v>
      </c>
      <c r="C814" s="2">
        <v>12.22</v>
      </c>
      <c r="D814">
        <f>LN(Table1[[#This Row],[IPC_real]]/B815)</f>
        <v>-9.9015069220432118E-3</v>
      </c>
      <c r="E814">
        <f>LN(Table1[[#This Row],[MXNUSD_real]]/C815)</f>
        <v>6.3210816717673415E-3</v>
      </c>
      <c r="N814" s="4">
        <v>0.87644255427937434</v>
      </c>
    </row>
    <row r="815" spans="1:14" x14ac:dyDescent="0.25">
      <c r="A815" s="1">
        <v>39728</v>
      </c>
      <c r="B815" s="2">
        <v>20884.740000000002</v>
      </c>
      <c r="C815" s="2">
        <v>12.143000000000001</v>
      </c>
      <c r="D815">
        <f>LN(Table1[[#This Row],[IPC_real]]/B816)</f>
        <v>-4.0555007989191205E-2</v>
      </c>
      <c r="E815">
        <f>LN(Table1[[#This Row],[MXNUSD_real]]/C816)</f>
        <v>1.3931728774703113E-2</v>
      </c>
      <c r="N815" s="4">
        <v>0.87924483736827785</v>
      </c>
    </row>
    <row r="816" spans="1:14" x14ac:dyDescent="0.25">
      <c r="A816" s="1">
        <v>39727</v>
      </c>
      <c r="B816" s="2">
        <v>21749.13</v>
      </c>
      <c r="C816" s="2">
        <v>11.975</v>
      </c>
      <c r="D816">
        <f>LN(Table1[[#This Row],[IPC_real]]/B817)</f>
        <v>-5.5463833217572582E-2</v>
      </c>
      <c r="E816">
        <f>LN(Table1[[#This Row],[MXNUSD_real]]/C817)</f>
        <v>6.6684175618817815E-2</v>
      </c>
      <c r="N816" s="4">
        <v>0.88429559032150007</v>
      </c>
    </row>
    <row r="817" spans="1:14" x14ac:dyDescent="0.25">
      <c r="A817" s="1">
        <v>39724</v>
      </c>
      <c r="B817" s="2">
        <v>22989.5</v>
      </c>
      <c r="C817" s="2">
        <v>11.202500000000001</v>
      </c>
      <c r="D817">
        <f>LN(Table1[[#This Row],[IPC_real]]/B818)</f>
        <v>-4.4155174896833141E-2</v>
      </c>
      <c r="E817">
        <f>LN(Table1[[#This Row],[MXNUSD_real]]/C818)</f>
        <v>2.4578271785285024E-3</v>
      </c>
      <c r="N817" s="4">
        <v>0.8999652853830058</v>
      </c>
    </row>
    <row r="818" spans="1:14" x14ac:dyDescent="0.25">
      <c r="A818" s="1">
        <v>39723</v>
      </c>
      <c r="B818" s="2">
        <v>24027.35</v>
      </c>
      <c r="C818" s="2">
        <v>11.175000000000001</v>
      </c>
      <c r="D818">
        <f>LN(Table1[[#This Row],[IPC_real]]/B819)</f>
        <v>-4.4364883161272538E-2</v>
      </c>
      <c r="E818">
        <f>LN(Table1[[#This Row],[MXNUSD_real]]/C819)</f>
        <v>1.8150301862848935E-2</v>
      </c>
      <c r="N818" s="4">
        <v>0.86153412252593153</v>
      </c>
    </row>
    <row r="819" spans="1:14" x14ac:dyDescent="0.25">
      <c r="A819" s="1">
        <v>39722</v>
      </c>
      <c r="B819" s="2">
        <v>25117.32</v>
      </c>
      <c r="C819" s="2">
        <v>10.974</v>
      </c>
      <c r="D819">
        <f>LN(Table1[[#This Row],[IPC_real]]/B820)</f>
        <v>9.1357270630578798E-3</v>
      </c>
      <c r="E819">
        <f>LN(Table1[[#This Row],[MXNUSD_real]]/C820)</f>
        <v>2.5547459150572259E-3</v>
      </c>
      <c r="N819" s="4">
        <v>0.87598868074284586</v>
      </c>
    </row>
    <row r="820" spans="1:14" x14ac:dyDescent="0.25">
      <c r="A820" s="1">
        <v>39721</v>
      </c>
      <c r="B820" s="2">
        <v>24888.9</v>
      </c>
      <c r="C820" s="2">
        <v>10.946</v>
      </c>
      <c r="D820">
        <f>LN(Table1[[#This Row],[IPC_real]]/B821)</f>
        <v>3.8216881894589605E-2</v>
      </c>
      <c r="E820">
        <f>LN(Table1[[#This Row],[MXNUSD_real]]/C821)</f>
        <v>-7.6447405436846621E-3</v>
      </c>
      <c r="N820" s="4">
        <v>0.88484297657670952</v>
      </c>
    </row>
    <row r="821" spans="1:14" x14ac:dyDescent="0.25">
      <c r="A821" s="1">
        <v>39720</v>
      </c>
      <c r="B821" s="2">
        <v>23955.67</v>
      </c>
      <c r="C821" s="2">
        <v>11.03</v>
      </c>
      <c r="D821">
        <f>LN(Table1[[#This Row],[IPC_real]]/B822)</f>
        <v>-6.6143923441116248E-2</v>
      </c>
      <c r="E821">
        <f>LN(Table1[[#This Row],[MXNUSD_real]]/C822)</f>
        <v>2.1257901469315839E-2</v>
      </c>
      <c r="N821" s="4">
        <v>0.88150085559463498</v>
      </c>
    </row>
    <row r="822" spans="1:14" x14ac:dyDescent="0.25">
      <c r="A822" s="1">
        <v>39717</v>
      </c>
      <c r="B822" s="2">
        <v>25593.77</v>
      </c>
      <c r="C822" s="2">
        <v>10.798</v>
      </c>
      <c r="D822">
        <f>LN(Table1[[#This Row],[IPC_real]]/B823)</f>
        <v>-2.0191551353175574E-3</v>
      </c>
      <c r="E822">
        <f>LN(Table1[[#This Row],[MXNUSD_real]]/C823)</f>
        <v>6.3173751534880392E-3</v>
      </c>
      <c r="N822" s="4">
        <v>0.84587158010246577</v>
      </c>
    </row>
    <row r="823" spans="1:14" x14ac:dyDescent="0.25">
      <c r="A823" s="1">
        <v>39716</v>
      </c>
      <c r="B823" s="2">
        <v>25645.5</v>
      </c>
      <c r="C823" s="2">
        <v>10.73</v>
      </c>
      <c r="D823">
        <f>LN(Table1[[#This Row],[IPC_real]]/B824)</f>
        <v>2.772478291365162E-2</v>
      </c>
      <c r="E823">
        <f>LN(Table1[[#This Row],[MXNUSD_real]]/C824)</f>
        <v>-9.5534743208232631E-3</v>
      </c>
      <c r="N823" s="4">
        <v>0.8863963605478169</v>
      </c>
    </row>
    <row r="824" spans="1:14" x14ac:dyDescent="0.25">
      <c r="A824" s="1">
        <v>39715</v>
      </c>
      <c r="B824" s="2">
        <v>24944.25</v>
      </c>
      <c r="C824" s="2">
        <v>10.833</v>
      </c>
      <c r="D824">
        <f>LN(Table1[[#This Row],[IPC_real]]/B825)</f>
        <v>-9.985291358740574E-4</v>
      </c>
      <c r="E824">
        <f>LN(Table1[[#This Row],[MXNUSD_real]]/C825)</f>
        <v>7.8773402101856866E-3</v>
      </c>
      <c r="N824" s="4">
        <v>0.87948020815138184</v>
      </c>
    </row>
    <row r="825" spans="1:14" x14ac:dyDescent="0.25">
      <c r="A825" s="1">
        <v>39714</v>
      </c>
      <c r="B825" s="2">
        <v>24969.17</v>
      </c>
      <c r="C825" s="2">
        <v>10.747999999999999</v>
      </c>
      <c r="D825">
        <f>LN(Table1[[#This Row],[IPC_real]]/B826)</f>
        <v>-6.496489591094284E-3</v>
      </c>
      <c r="E825">
        <f>LN(Table1[[#This Row],[MXNUSD_real]]/C826)</f>
        <v>1.4526285138885748E-2</v>
      </c>
      <c r="N825" s="4">
        <v>0.8863585338949358</v>
      </c>
    </row>
    <row r="826" spans="1:14" x14ac:dyDescent="0.25">
      <c r="A826" s="1">
        <v>39713</v>
      </c>
      <c r="B826" s="2">
        <v>25131.91</v>
      </c>
      <c r="C826" s="2">
        <v>10.593</v>
      </c>
      <c r="D826">
        <f>LN(Table1[[#This Row],[IPC_real]]/B827)</f>
        <v>-2.2392715476637962E-2</v>
      </c>
      <c r="E826">
        <f>LN(Table1[[#This Row],[MXNUSD_real]]/C827)</f>
        <v>-4.5210588452353718E-3</v>
      </c>
      <c r="N826" s="4">
        <v>0.89002762143600989</v>
      </c>
    </row>
    <row r="827" spans="1:14" x14ac:dyDescent="0.25">
      <c r="A827" s="1">
        <v>39710</v>
      </c>
      <c r="B827" s="2">
        <v>25701.03</v>
      </c>
      <c r="C827" s="2">
        <v>10.641</v>
      </c>
      <c r="D827">
        <f>LN(Table1[[#This Row],[IPC_real]]/B828)</f>
        <v>4.4683403744269684E-2</v>
      </c>
      <c r="E827">
        <f>LN(Table1[[#This Row],[MXNUSD_real]]/C828)</f>
        <v>-2.285495243944851E-2</v>
      </c>
      <c r="N827" s="4">
        <v>0.87791175210429406</v>
      </c>
    </row>
    <row r="828" spans="1:14" x14ac:dyDescent="0.25">
      <c r="A828" s="1">
        <v>39709</v>
      </c>
      <c r="B828" s="2">
        <v>24577.9</v>
      </c>
      <c r="C828" s="2">
        <v>10.887</v>
      </c>
      <c r="D828">
        <f>LN(Table1[[#This Row],[IPC_real]]/B829)</f>
        <v>4.6685528379199731E-2</v>
      </c>
      <c r="E828">
        <f>LN(Table1[[#This Row],[MXNUSD_real]]/C829)</f>
        <v>4.4186760654300683E-3</v>
      </c>
      <c r="N828" s="4">
        <v>0.88484451219586102</v>
      </c>
    </row>
    <row r="829" spans="1:14" x14ac:dyDescent="0.25">
      <c r="A829" s="1">
        <v>39708</v>
      </c>
      <c r="B829" s="2">
        <v>23456.84</v>
      </c>
      <c r="C829" s="2">
        <v>10.839</v>
      </c>
      <c r="D829">
        <f>LN(Table1[[#This Row],[IPC_real]]/B830)</f>
        <v>-4.8321838976527115E-2</v>
      </c>
      <c r="E829">
        <f>LN(Table1[[#This Row],[MXNUSD_real]]/C830)</f>
        <v>1.618338891029901E-2</v>
      </c>
      <c r="N829" s="4">
        <v>0.89064635380983825</v>
      </c>
    </row>
    <row r="830" spans="1:14" x14ac:dyDescent="0.25">
      <c r="A830" s="1">
        <v>39706</v>
      </c>
      <c r="B830" s="2">
        <v>24618.15</v>
      </c>
      <c r="C830" s="2">
        <v>10.664999999999999</v>
      </c>
      <c r="D830">
        <f>LN(Table1[[#This Row],[IPC_real]]/B831)</f>
        <v>-3.8655538823217928E-2</v>
      </c>
      <c r="E830">
        <f>LN(Table1[[#This Row],[MXNUSD_real]]/C831)</f>
        <v>6.7739463089548637E-3</v>
      </c>
      <c r="N830" s="4">
        <v>0.88419042486913402</v>
      </c>
    </row>
    <row r="831" spans="1:14" x14ac:dyDescent="0.25">
      <c r="A831" s="1">
        <v>39703</v>
      </c>
      <c r="B831" s="2">
        <v>25588.41</v>
      </c>
      <c r="C831" s="2">
        <v>10.593</v>
      </c>
      <c r="D831">
        <f>LN(Table1[[#This Row],[IPC_real]]/B832)</f>
        <v>1.4047467254890288E-3</v>
      </c>
      <c r="E831">
        <f>LN(Table1[[#This Row],[MXNUSD_real]]/C832)</f>
        <v>-4.7089934445482488E-3</v>
      </c>
      <c r="N831" s="4">
        <v>0.88122349388439147</v>
      </c>
    </row>
    <row r="832" spans="1:14" x14ac:dyDescent="0.25">
      <c r="A832" s="1">
        <v>39702</v>
      </c>
      <c r="B832" s="2">
        <v>25552.49</v>
      </c>
      <c r="C832" s="2">
        <v>10.643000000000001</v>
      </c>
      <c r="D832">
        <f>LN(Table1[[#This Row],[IPC_real]]/B833)</f>
        <v>-2.7521052868073382E-3</v>
      </c>
      <c r="E832">
        <f>LN(Table1[[#This Row],[MXNUSD_real]]/C833)</f>
        <v>3.8597364932928817E-3</v>
      </c>
      <c r="N832" s="4">
        <v>0.88896965048721865</v>
      </c>
    </row>
    <row r="833" spans="1:14" x14ac:dyDescent="0.25">
      <c r="A833" s="1">
        <v>39701</v>
      </c>
      <c r="B833" s="2">
        <v>25622.91</v>
      </c>
      <c r="C833" s="2">
        <v>10.602</v>
      </c>
      <c r="D833">
        <f>LN(Table1[[#This Row],[IPC_real]]/B834)</f>
        <v>-2.6847366251248414E-4</v>
      </c>
      <c r="E833">
        <f>LN(Table1[[#This Row],[MXNUSD_real]]/C834)</f>
        <v>7.1467753371412344E-3</v>
      </c>
      <c r="N833" s="4">
        <v>0.89439708725577227</v>
      </c>
    </row>
    <row r="834" spans="1:14" x14ac:dyDescent="0.25">
      <c r="A834" s="1">
        <v>39700</v>
      </c>
      <c r="B834" s="2">
        <v>25629.79</v>
      </c>
      <c r="C834" s="2">
        <v>10.5265</v>
      </c>
      <c r="D834">
        <f>LN(Table1[[#This Row],[IPC_real]]/B835)</f>
        <v>-2.3246040467227388E-2</v>
      </c>
      <c r="E834">
        <f>LN(Table1[[#This Row],[MXNUSD_real]]/C835)</f>
        <v>2.8063851748124568E-3</v>
      </c>
      <c r="N834" s="4">
        <v>0.88561966194733366</v>
      </c>
    </row>
    <row r="835" spans="1:14" x14ac:dyDescent="0.25">
      <c r="A835" s="1">
        <v>39699</v>
      </c>
      <c r="B835" s="2">
        <v>26232.560000000001</v>
      </c>
      <c r="C835" s="2">
        <v>10.497</v>
      </c>
      <c r="D835">
        <f>LN(Table1[[#This Row],[IPC_real]]/B836)</f>
        <v>1.2597041641501936E-2</v>
      </c>
      <c r="E835">
        <f>LN(Table1[[#This Row],[MXNUSD_real]]/C836)</f>
        <v>1.8116810676327034E-3</v>
      </c>
      <c r="N835" s="4">
        <v>0.88043766690443948</v>
      </c>
    </row>
    <row r="836" spans="1:14" x14ac:dyDescent="0.25">
      <c r="A836" s="1">
        <v>39696</v>
      </c>
      <c r="B836" s="2">
        <v>25904.18</v>
      </c>
      <c r="C836" s="2">
        <v>10.478</v>
      </c>
      <c r="D836">
        <f>LN(Table1[[#This Row],[IPC_real]]/B837)</f>
        <v>-9.5071756193915672E-3</v>
      </c>
      <c r="E836">
        <f>LN(Table1[[#This Row],[MXNUSD_real]]/C837)</f>
        <v>-3.6676313469670486E-3</v>
      </c>
      <c r="N836" s="4">
        <v>0.88465469215903425</v>
      </c>
    </row>
    <row r="837" spans="1:14" x14ac:dyDescent="0.25">
      <c r="A837" s="1">
        <v>39695</v>
      </c>
      <c r="B837" s="2">
        <v>26151.63</v>
      </c>
      <c r="C837" s="2">
        <v>10.516500000000001</v>
      </c>
      <c r="D837">
        <f>LN(Table1[[#This Row],[IPC_real]]/B838)</f>
        <v>-1.2017000744910133E-2</v>
      </c>
      <c r="E837">
        <f>LN(Table1[[#This Row],[MXNUSD_real]]/C838)</f>
        <v>9.6983776200597355E-3</v>
      </c>
      <c r="N837" s="4">
        <v>0.88903491447603022</v>
      </c>
    </row>
    <row r="838" spans="1:14" x14ac:dyDescent="0.25">
      <c r="A838" s="1">
        <v>39694</v>
      </c>
      <c r="B838" s="2">
        <v>26467.79</v>
      </c>
      <c r="C838" s="2">
        <v>10.414999999999999</v>
      </c>
      <c r="D838">
        <f>LN(Table1[[#This Row],[IPC_real]]/B839)</f>
        <v>-2.0747102914704259E-3</v>
      </c>
      <c r="E838">
        <f>LN(Table1[[#This Row],[MXNUSD_real]]/C839)</f>
        <v>3.7034407333573962E-3</v>
      </c>
      <c r="N838" s="4">
        <v>0.88584351074196932</v>
      </c>
    </row>
    <row r="839" spans="1:14" x14ac:dyDescent="0.25">
      <c r="A839" s="1">
        <v>39693</v>
      </c>
      <c r="B839" s="2">
        <v>26522.76</v>
      </c>
      <c r="C839" s="2">
        <v>10.3765</v>
      </c>
      <c r="D839">
        <f>LN(Table1[[#This Row],[IPC_real]]/B840)</f>
        <v>3.7040534943635823E-3</v>
      </c>
      <c r="E839">
        <f>LN(Table1[[#This Row],[MXNUSD_real]]/C840)</f>
        <v>3.1853308786108986E-3</v>
      </c>
      <c r="N839" s="4">
        <v>0.88449869649491519</v>
      </c>
    </row>
    <row r="840" spans="1:14" x14ac:dyDescent="0.25">
      <c r="A840" s="1">
        <v>39692</v>
      </c>
      <c r="B840" s="2">
        <v>26424.7</v>
      </c>
      <c r="C840" s="2">
        <v>10.343500000000001</v>
      </c>
      <c r="D840">
        <f>LN(Table1[[#This Row],[IPC_real]]/B841)</f>
        <v>5.0728838697796722E-3</v>
      </c>
      <c r="E840">
        <f>LN(Table1[[#This Row],[MXNUSD_real]]/C841)</f>
        <v>5.5745557482426216E-3</v>
      </c>
      <c r="N840" s="4">
        <v>0.8862600486807497</v>
      </c>
    </row>
    <row r="841" spans="1:14" x14ac:dyDescent="0.25">
      <c r="A841" s="1">
        <v>39689</v>
      </c>
      <c r="B841" s="2">
        <v>26290.99</v>
      </c>
      <c r="C841" s="2">
        <v>10.286</v>
      </c>
      <c r="D841">
        <f>LN(Table1[[#This Row],[IPC_real]]/B842)</f>
        <v>-5.8075324158763731E-3</v>
      </c>
      <c r="E841">
        <f>LN(Table1[[#This Row],[MXNUSD_real]]/C842)</f>
        <v>4.5797887600446761E-3</v>
      </c>
      <c r="N841" s="4">
        <v>0.88664705968512869</v>
      </c>
    </row>
    <row r="842" spans="1:14" x14ac:dyDescent="0.25">
      <c r="A842" s="1">
        <v>39688</v>
      </c>
      <c r="B842" s="2">
        <v>26444.12</v>
      </c>
      <c r="C842" s="2">
        <v>10.239000000000001</v>
      </c>
      <c r="D842">
        <f>LN(Table1[[#This Row],[IPC_real]]/B843)</f>
        <v>1.1898084401327629E-2</v>
      </c>
      <c r="E842">
        <f>LN(Table1[[#This Row],[MXNUSD_real]]/C843)</f>
        <v>9.4694424942144834E-3</v>
      </c>
      <c r="N842" s="4">
        <v>0.8886706600946328</v>
      </c>
    </row>
    <row r="843" spans="1:14" x14ac:dyDescent="0.25">
      <c r="A843" s="1">
        <v>39687</v>
      </c>
      <c r="B843" s="2">
        <v>26131.35</v>
      </c>
      <c r="C843" s="2">
        <v>10.1425</v>
      </c>
      <c r="D843">
        <f>LN(Table1[[#This Row],[IPC_real]]/B844)</f>
        <v>2.2945135051427282E-3</v>
      </c>
      <c r="E843">
        <f>LN(Table1[[#This Row],[MXNUSD_real]]/C844)</f>
        <v>-2.3143029262454999E-3</v>
      </c>
      <c r="N843" s="4">
        <v>0.8834069358460569</v>
      </c>
    </row>
    <row r="844" spans="1:14" x14ac:dyDescent="0.25">
      <c r="A844" s="1">
        <v>39686</v>
      </c>
      <c r="B844" s="2">
        <v>26071.46</v>
      </c>
      <c r="C844" s="2">
        <v>10.166</v>
      </c>
      <c r="D844">
        <f>LN(Table1[[#This Row],[IPC_real]]/B845)</f>
        <v>-1.3152128080247353E-2</v>
      </c>
      <c r="E844">
        <f>LN(Table1[[#This Row],[MXNUSD_real]]/C845)</f>
        <v>2.8567226244481641E-3</v>
      </c>
      <c r="N844" s="4">
        <v>0.88590575458220666</v>
      </c>
    </row>
    <row r="845" spans="1:14" x14ac:dyDescent="0.25">
      <c r="A845" s="1">
        <v>39685</v>
      </c>
      <c r="B845" s="2">
        <v>26416.62</v>
      </c>
      <c r="C845" s="2">
        <v>10.137</v>
      </c>
      <c r="D845">
        <f>LN(Table1[[#This Row],[IPC_real]]/B846)</f>
        <v>-1.7219872967485405E-2</v>
      </c>
      <c r="E845">
        <f>LN(Table1[[#This Row],[MXNUSD_real]]/C846)</f>
        <v>-5.4241969820260536E-4</v>
      </c>
      <c r="N845" s="4">
        <v>0.88611099570950802</v>
      </c>
    </row>
    <row r="846" spans="1:14" x14ac:dyDescent="0.25">
      <c r="A846" s="1">
        <v>39682</v>
      </c>
      <c r="B846" s="2">
        <v>26875.45</v>
      </c>
      <c r="C846" s="2">
        <v>10.1425</v>
      </c>
      <c r="D846">
        <f>LN(Table1[[#This Row],[IPC_real]]/B847)</f>
        <v>1.274974479672172E-2</v>
      </c>
      <c r="E846">
        <f>LN(Table1[[#This Row],[MXNUSD_real]]/C847)</f>
        <v>4.8230492481756183E-3</v>
      </c>
      <c r="N846" s="4">
        <v>0.88515049536465962</v>
      </c>
    </row>
    <row r="847" spans="1:14" x14ac:dyDescent="0.25">
      <c r="A847" s="1">
        <v>39681</v>
      </c>
      <c r="B847" s="2">
        <v>26534.97</v>
      </c>
      <c r="C847" s="2">
        <v>10.0937</v>
      </c>
      <c r="D847">
        <f>LN(Table1[[#This Row],[IPC_real]]/B848)</f>
        <v>-1.2362327408819061E-2</v>
      </c>
      <c r="E847">
        <f>LN(Table1[[#This Row],[MXNUSD_real]]/C848)</f>
        <v>-4.3792731998680834E-3</v>
      </c>
      <c r="N847" s="4">
        <v>0.88555477332145871</v>
      </c>
    </row>
    <row r="848" spans="1:14" x14ac:dyDescent="0.25">
      <c r="A848" s="1">
        <v>39680</v>
      </c>
      <c r="B848" s="2">
        <v>26865.040000000001</v>
      </c>
      <c r="C848" s="2">
        <v>10.138</v>
      </c>
      <c r="D848">
        <f>LN(Table1[[#This Row],[IPC_real]]/B849)</f>
        <v>4.9603485469810835E-3</v>
      </c>
      <c r="E848">
        <f>LN(Table1[[#This Row],[MXNUSD_real]]/C849)</f>
        <v>-1.7739237922744008E-3</v>
      </c>
      <c r="N848" s="4">
        <v>0.88350662375637723</v>
      </c>
    </row>
    <row r="849" spans="1:14" x14ac:dyDescent="0.25">
      <c r="A849" s="1">
        <v>39679</v>
      </c>
      <c r="B849" s="2">
        <v>26732.11</v>
      </c>
      <c r="C849" s="2">
        <v>10.156000000000001</v>
      </c>
      <c r="D849">
        <f>LN(Table1[[#This Row],[IPC_real]]/B850)</f>
        <v>-1.6957712018467229E-3</v>
      </c>
      <c r="E849">
        <f>LN(Table1[[#This Row],[MXNUSD_real]]/C850)</f>
        <v>-9.3497041970822166E-4</v>
      </c>
      <c r="N849" s="4">
        <v>0.88818767574158997</v>
      </c>
    </row>
    <row r="850" spans="1:14" x14ac:dyDescent="0.25">
      <c r="A850" s="1">
        <v>39678</v>
      </c>
      <c r="B850" s="2">
        <v>26777.48</v>
      </c>
      <c r="C850" s="2">
        <v>10.1655</v>
      </c>
      <c r="D850">
        <f>LN(Table1[[#This Row],[IPC_real]]/B851)</f>
        <v>-2.0819953523499874E-2</v>
      </c>
      <c r="E850">
        <f>LN(Table1[[#This Row],[MXNUSD_real]]/C851)</f>
        <v>-1.7200289273881387E-3</v>
      </c>
      <c r="N850" s="4">
        <v>0.88624030064135539</v>
      </c>
    </row>
    <row r="851" spans="1:14" x14ac:dyDescent="0.25">
      <c r="A851" s="1">
        <v>39675</v>
      </c>
      <c r="B851" s="2">
        <v>27340.83</v>
      </c>
      <c r="C851" s="2">
        <v>10.183</v>
      </c>
      <c r="D851">
        <f>LN(Table1[[#This Row],[IPC_real]]/B852)</f>
        <v>3.4212505352447724E-3</v>
      </c>
      <c r="E851">
        <f>LN(Table1[[#This Row],[MXNUSD_real]]/C852)</f>
        <v>1.3757863805279702E-3</v>
      </c>
      <c r="N851" s="4">
        <v>0.88753872959478497</v>
      </c>
    </row>
    <row r="852" spans="1:14" x14ac:dyDescent="0.25">
      <c r="A852" s="1">
        <v>39674</v>
      </c>
      <c r="B852" s="2">
        <v>27247.45</v>
      </c>
      <c r="C852" s="2">
        <v>10.169</v>
      </c>
      <c r="D852">
        <f>LN(Table1[[#This Row],[IPC_real]]/B853)</f>
        <v>1.3686432011407023E-2</v>
      </c>
      <c r="E852">
        <f>LN(Table1[[#This Row],[MXNUSD_real]]/C853)</f>
        <v>4.9181135108285125E-4</v>
      </c>
      <c r="N852" s="4">
        <v>0.88545648926733211</v>
      </c>
    </row>
    <row r="853" spans="1:14" x14ac:dyDescent="0.25">
      <c r="A853" s="1">
        <v>39673</v>
      </c>
      <c r="B853" s="2">
        <v>26877.07</v>
      </c>
      <c r="C853" s="2">
        <v>10.164</v>
      </c>
      <c r="D853">
        <f>LN(Table1[[#This Row],[IPC_real]]/B854)</f>
        <v>8.9891739562506286E-3</v>
      </c>
      <c r="E853">
        <f>LN(Table1[[#This Row],[MXNUSD_real]]/C854)</f>
        <v>4.919444103803721E-5</v>
      </c>
      <c r="N853" s="4">
        <v>0.8889202750000309</v>
      </c>
    </row>
    <row r="854" spans="1:14" x14ac:dyDescent="0.25">
      <c r="A854" s="1">
        <v>39672</v>
      </c>
      <c r="B854" s="2">
        <v>26636.55</v>
      </c>
      <c r="C854" s="2">
        <v>10.163500000000001</v>
      </c>
      <c r="D854">
        <f>LN(Table1[[#This Row],[IPC_real]]/B855)</f>
        <v>-1.1464799868059664E-2</v>
      </c>
      <c r="E854">
        <f>LN(Table1[[#This Row],[MXNUSD_real]]/C855)</f>
        <v>1.4759784533943215E-4</v>
      </c>
      <c r="N854" s="4">
        <v>0.88799176617740305</v>
      </c>
    </row>
    <row r="855" spans="1:14" x14ac:dyDescent="0.25">
      <c r="A855" s="1">
        <v>39671</v>
      </c>
      <c r="B855" s="2">
        <v>26943.69</v>
      </c>
      <c r="C855" s="2">
        <v>10.162000000000001</v>
      </c>
      <c r="D855">
        <f>LN(Table1[[#This Row],[IPC_real]]/B856)</f>
        <v>-6.9938269205548527E-3</v>
      </c>
      <c r="E855">
        <f>LN(Table1[[#This Row],[MXNUSD_real]]/C856)</f>
        <v>1.9700557987129982E-3</v>
      </c>
      <c r="N855" s="4">
        <v>0.88768413258394674</v>
      </c>
    </row>
    <row r="856" spans="1:14" x14ac:dyDescent="0.25">
      <c r="A856" s="1">
        <v>39668</v>
      </c>
      <c r="B856" s="2">
        <v>27132.79</v>
      </c>
      <c r="C856" s="2">
        <v>10.141999999999999</v>
      </c>
      <c r="D856">
        <f>LN(Table1[[#This Row],[IPC_real]]/B857)</f>
        <v>5.3884320942869423E-3</v>
      </c>
      <c r="E856">
        <f>LN(Table1[[#This Row],[MXNUSD_real]]/C857)</f>
        <v>1.540097011182965E-2</v>
      </c>
      <c r="N856" s="4">
        <v>0.88797213098788275</v>
      </c>
    </row>
    <row r="857" spans="1:14" x14ac:dyDescent="0.25">
      <c r="A857" s="1">
        <v>39667</v>
      </c>
      <c r="B857" s="2">
        <v>26986.98</v>
      </c>
      <c r="C857" s="2">
        <v>9.9870000000000001</v>
      </c>
      <c r="D857">
        <f>LN(Table1[[#This Row],[IPC_real]]/B858)</f>
        <v>-1.3083717702518902E-2</v>
      </c>
      <c r="E857">
        <f>LN(Table1[[#This Row],[MXNUSD_real]]/C858)</f>
        <v>5.6230693397761877E-3</v>
      </c>
      <c r="N857" s="4">
        <v>0.88681472686708629</v>
      </c>
    </row>
    <row r="858" spans="1:14" x14ac:dyDescent="0.25">
      <c r="A858" s="1">
        <v>39666</v>
      </c>
      <c r="B858" s="2">
        <v>27342.39</v>
      </c>
      <c r="C858" s="2">
        <v>9.9309999999999992</v>
      </c>
      <c r="D858">
        <f>LN(Table1[[#This Row],[IPC_real]]/B859)</f>
        <v>1.2964778528650295E-2</v>
      </c>
      <c r="E858">
        <f>LN(Table1[[#This Row],[MXNUSD_real]]/C859)</f>
        <v>2.5205437551754839E-3</v>
      </c>
      <c r="N858" s="4">
        <v>0.88715116413527084</v>
      </c>
    </row>
    <row r="859" spans="1:14" x14ac:dyDescent="0.25">
      <c r="A859" s="1">
        <v>39665</v>
      </c>
      <c r="B859" s="2">
        <v>26990.19</v>
      </c>
      <c r="C859" s="2">
        <v>9.9060000000000006</v>
      </c>
      <c r="D859">
        <f>LN(Table1[[#This Row],[IPC_real]]/B860)</f>
        <v>1.8790727152286215E-2</v>
      </c>
      <c r="E859">
        <f>LN(Table1[[#This Row],[MXNUSD_real]]/C860)</f>
        <v>3.3368755367334884E-3</v>
      </c>
      <c r="N859" s="4">
        <v>0.88731782646190471</v>
      </c>
    </row>
    <row r="860" spans="1:14" x14ac:dyDescent="0.25">
      <c r="A860" s="1">
        <v>39664</v>
      </c>
      <c r="B860" s="2">
        <v>26487.759999999998</v>
      </c>
      <c r="C860" s="2">
        <v>9.8729999999999993</v>
      </c>
      <c r="D860">
        <f>LN(Table1[[#This Row],[IPC_real]]/B861)</f>
        <v>-1.7641130654119156E-2</v>
      </c>
      <c r="E860">
        <f>LN(Table1[[#This Row],[MXNUSD_real]]/C861)</f>
        <v>-8.9239040374284543E-3</v>
      </c>
      <c r="N860" s="4">
        <v>0.88728087706412651</v>
      </c>
    </row>
    <row r="861" spans="1:14" x14ac:dyDescent="0.25">
      <c r="A861" s="1">
        <v>39661</v>
      </c>
      <c r="B861" s="2">
        <v>26959.18</v>
      </c>
      <c r="C861" s="2">
        <v>9.9614999999999991</v>
      </c>
      <c r="D861">
        <f>LN(Table1[[#This Row],[IPC_real]]/B862)</f>
        <v>-1.9899224742485074E-2</v>
      </c>
      <c r="E861">
        <f>LN(Table1[[#This Row],[MXNUSD_real]]/C862)</f>
        <v>-8.1979964257248867E-3</v>
      </c>
      <c r="N861" s="4">
        <v>0.88658585051806094</v>
      </c>
    </row>
    <row r="862" spans="1:14" x14ac:dyDescent="0.25">
      <c r="A862" s="1">
        <v>39660</v>
      </c>
      <c r="B862" s="2">
        <v>27501.02</v>
      </c>
      <c r="C862" s="2">
        <v>10.0435</v>
      </c>
      <c r="D862">
        <f>LN(Table1[[#This Row],[IPC_real]]/B863)</f>
        <v>9.8153606984952946E-4</v>
      </c>
      <c r="E862">
        <f>LN(Table1[[#This Row],[MXNUSD_real]]/C863)</f>
        <v>8.965036958650187E-4</v>
      </c>
      <c r="N862" s="4">
        <v>0.88081105787369263</v>
      </c>
    </row>
    <row r="863" spans="1:14" x14ac:dyDescent="0.25">
      <c r="A863" s="1">
        <v>39659</v>
      </c>
      <c r="B863" s="2">
        <v>27474.04</v>
      </c>
      <c r="C863" s="2">
        <v>10.0345</v>
      </c>
      <c r="D863">
        <f>LN(Table1[[#This Row],[IPC_real]]/B864)</f>
        <v>5.6723057410847256E-3</v>
      </c>
      <c r="E863">
        <f>LN(Table1[[#This Row],[MXNUSD_real]]/C864)</f>
        <v>-2.040867828014656E-3</v>
      </c>
      <c r="N863" s="4">
        <v>0.88513061881398847</v>
      </c>
    </row>
    <row r="864" spans="1:14" x14ac:dyDescent="0.25">
      <c r="A864" s="1">
        <v>39658</v>
      </c>
      <c r="B864" s="2">
        <v>27318.639999999999</v>
      </c>
      <c r="C864" s="2">
        <v>10.055</v>
      </c>
      <c r="D864">
        <f>LN(Table1[[#This Row],[IPC_real]]/B865)</f>
        <v>2.1676480914083727E-2</v>
      </c>
      <c r="E864">
        <f>LN(Table1[[#This Row],[MXNUSD_real]]/C865)</f>
        <v>-8.9467673346934977E-4</v>
      </c>
      <c r="N864" s="4">
        <v>0.88637188939494305</v>
      </c>
    </row>
    <row r="865" spans="1:14" x14ac:dyDescent="0.25">
      <c r="A865" s="1">
        <v>39657</v>
      </c>
      <c r="B865" s="2">
        <v>26732.84</v>
      </c>
      <c r="C865" s="2">
        <v>10.064</v>
      </c>
      <c r="D865">
        <f>LN(Table1[[#This Row],[IPC_real]]/B866)</f>
        <v>-1.3078805119938062E-2</v>
      </c>
      <c r="E865">
        <f>LN(Table1[[#This Row],[MXNUSD_real]]/C866)</f>
        <v>-4.9064650529285509E-3</v>
      </c>
      <c r="N865" s="4">
        <v>0.88605113719142148</v>
      </c>
    </row>
    <row r="866" spans="1:14" x14ac:dyDescent="0.25">
      <c r="A866" s="1">
        <v>39654</v>
      </c>
      <c r="B866" s="2">
        <v>27084.77</v>
      </c>
      <c r="C866" s="2">
        <v>10.1135</v>
      </c>
      <c r="D866">
        <f>LN(Table1[[#This Row],[IPC_real]]/B867)</f>
        <v>-2.0464259233696932E-2</v>
      </c>
      <c r="E866">
        <f>LN(Table1[[#This Row],[MXNUSD_real]]/C867)</f>
        <v>1.0086791441485322E-2</v>
      </c>
      <c r="N866" s="4">
        <v>0.89044457552115952</v>
      </c>
    </row>
    <row r="867" spans="1:14" x14ac:dyDescent="0.25">
      <c r="A867" s="1">
        <v>39653</v>
      </c>
      <c r="B867" s="2">
        <v>27644.75</v>
      </c>
      <c r="C867" s="2">
        <v>10.012</v>
      </c>
      <c r="D867">
        <f>LN(Table1[[#This Row],[IPC_real]]/B868)</f>
        <v>0</v>
      </c>
      <c r="E867">
        <f>LN(Table1[[#This Row],[MXNUSD_real]]/C868)</f>
        <v>5.4949173398499999E-4</v>
      </c>
      <c r="N867" s="4">
        <v>0.89020911156919946</v>
      </c>
    </row>
    <row r="868" spans="1:14" x14ac:dyDescent="0.25">
      <c r="A868" s="1">
        <v>39652</v>
      </c>
      <c r="B868" s="2">
        <v>27644.75</v>
      </c>
      <c r="C868" s="2">
        <v>10.006500000000001</v>
      </c>
      <c r="D868">
        <f>LN(Table1[[#This Row],[IPC_real]]/B869)</f>
        <v>1.9012627522882988E-3</v>
      </c>
      <c r="E868">
        <f>LN(Table1[[#This Row],[MXNUSD_real]]/C869)</f>
        <v>-7.0207174627225288E-3</v>
      </c>
      <c r="N868" s="4">
        <v>0.88699773438383389</v>
      </c>
    </row>
    <row r="869" spans="1:14" x14ac:dyDescent="0.25">
      <c r="A869" s="1">
        <v>39651</v>
      </c>
      <c r="B869" s="2">
        <v>27592.240000000002</v>
      </c>
      <c r="C869" s="2">
        <v>10.077</v>
      </c>
      <c r="D869">
        <f>LN(Table1[[#This Row],[IPC_real]]/B870)</f>
        <v>-1.4258065883804091E-2</v>
      </c>
      <c r="E869">
        <f>LN(Table1[[#This Row],[MXNUSD_real]]/C870)</f>
        <v>-6.4789168001999145E-3</v>
      </c>
      <c r="N869" s="4">
        <v>0.88808876314526453</v>
      </c>
    </row>
    <row r="870" spans="1:14" x14ac:dyDescent="0.25">
      <c r="A870" s="1">
        <v>39650</v>
      </c>
      <c r="B870" s="2">
        <v>27988.47</v>
      </c>
      <c r="C870" s="2">
        <v>10.1425</v>
      </c>
      <c r="D870">
        <f>LN(Table1[[#This Row],[IPC_real]]/B871)</f>
        <v>-6.4567774868160852E-3</v>
      </c>
      <c r="E870">
        <f>LN(Table1[[#This Row],[MXNUSD_real]]/C871)</f>
        <v>-3.8378319099672733E-3</v>
      </c>
      <c r="N870" s="4">
        <v>0.88766925052477741</v>
      </c>
    </row>
    <row r="871" spans="1:14" x14ac:dyDescent="0.25">
      <c r="A871" s="1">
        <v>39647</v>
      </c>
      <c r="B871" s="2">
        <v>28169.77</v>
      </c>
      <c r="C871" s="2">
        <v>10.1815</v>
      </c>
      <c r="D871">
        <f>LN(Table1[[#This Row],[IPC_real]]/B872)</f>
        <v>-1.6348140568820905E-3</v>
      </c>
      <c r="E871">
        <f>LN(Table1[[#This Row],[MXNUSD_real]]/C872)</f>
        <v>-3.6763846216393932E-3</v>
      </c>
      <c r="N871" s="4">
        <v>0.88910326660295613</v>
      </c>
    </row>
    <row r="872" spans="1:14" x14ac:dyDescent="0.25">
      <c r="A872" s="1">
        <v>39646</v>
      </c>
      <c r="B872" s="2">
        <v>28215.86</v>
      </c>
      <c r="C872" s="2">
        <v>10.218999999999999</v>
      </c>
      <c r="D872">
        <f>LN(Table1[[#This Row],[IPC_real]]/B873)</f>
        <v>8.793912932303893E-3</v>
      </c>
      <c r="E872">
        <f>LN(Table1[[#This Row],[MXNUSD_real]]/C873)</f>
        <v>-2.8338319643610873E-3</v>
      </c>
      <c r="N872" s="4">
        <v>0.88323701664095411</v>
      </c>
    </row>
    <row r="873" spans="1:14" x14ac:dyDescent="0.25">
      <c r="A873" s="1">
        <v>39645</v>
      </c>
      <c r="B873" s="2">
        <v>27968.82</v>
      </c>
      <c r="C873" s="2">
        <v>10.247999999999999</v>
      </c>
      <c r="D873">
        <f>LN(Table1[[#This Row],[IPC_real]]/B874)</f>
        <v>1.924158834716283E-2</v>
      </c>
      <c r="E873">
        <f>LN(Table1[[#This Row],[MXNUSD_real]]/C874)</f>
        <v>-4.284329825064697E-3</v>
      </c>
      <c r="N873" s="4">
        <v>0.88712935717170627</v>
      </c>
    </row>
    <row r="874" spans="1:14" x14ac:dyDescent="0.25">
      <c r="A874" s="1">
        <v>39644</v>
      </c>
      <c r="B874" s="2">
        <v>27435.8</v>
      </c>
      <c r="C874" s="2">
        <v>10.292</v>
      </c>
      <c r="D874">
        <f>LN(Table1[[#This Row],[IPC_real]]/B875)</f>
        <v>-2.9592630977168942E-3</v>
      </c>
      <c r="E874">
        <f>LN(Table1[[#This Row],[MXNUSD_real]]/C875)</f>
        <v>0</v>
      </c>
      <c r="N874" s="4">
        <v>0.88982080072125858</v>
      </c>
    </row>
    <row r="875" spans="1:14" x14ac:dyDescent="0.25">
      <c r="A875" s="1">
        <v>39643</v>
      </c>
      <c r="B875" s="2">
        <v>27517.11</v>
      </c>
      <c r="C875" s="2">
        <v>10.292</v>
      </c>
      <c r="D875">
        <f>LN(Table1[[#This Row],[IPC_real]]/B876)</f>
        <v>-3.5344525849486108E-3</v>
      </c>
      <c r="E875">
        <f>LN(Table1[[#This Row],[MXNUSD_real]]/C876)</f>
        <v>-9.2262128087902565E-4</v>
      </c>
      <c r="N875" s="4">
        <v>0.88963940437994216</v>
      </c>
    </row>
    <row r="876" spans="1:14" x14ac:dyDescent="0.25">
      <c r="A876" s="1">
        <v>39640</v>
      </c>
      <c r="B876" s="2">
        <v>27614.54</v>
      </c>
      <c r="C876" s="2">
        <v>10.301500000000001</v>
      </c>
      <c r="D876">
        <f>LN(Table1[[#This Row],[IPC_real]]/B877)</f>
        <v>-9.4713681301978256E-3</v>
      </c>
      <c r="E876">
        <f>LN(Table1[[#This Row],[MXNUSD_real]]/C877)</f>
        <v>-6.3077708974181522E-4</v>
      </c>
      <c r="N876" s="4">
        <v>0.88873063193065527</v>
      </c>
    </row>
    <row r="877" spans="1:14" x14ac:dyDescent="0.25">
      <c r="A877" s="1">
        <v>39639</v>
      </c>
      <c r="B877" s="2">
        <v>27877.33</v>
      </c>
      <c r="C877" s="2">
        <v>10.308</v>
      </c>
      <c r="D877">
        <f>LN(Table1[[#This Row],[IPC_real]]/B878)</f>
        <v>-7.8059293202032585E-3</v>
      </c>
      <c r="E877">
        <f>LN(Table1[[#This Row],[MXNUSD_real]]/C878)</f>
        <v>4.8517782718752518E-4</v>
      </c>
      <c r="N877" s="4">
        <v>0.88867374858154724</v>
      </c>
    </row>
    <row r="878" spans="1:14" x14ac:dyDescent="0.25">
      <c r="A878" s="1">
        <v>39638</v>
      </c>
      <c r="B878" s="2">
        <v>28095.79</v>
      </c>
      <c r="C878" s="2">
        <v>10.303000000000001</v>
      </c>
      <c r="D878">
        <f>LN(Table1[[#This Row],[IPC_real]]/B879)</f>
        <v>-1.6080974929510061E-2</v>
      </c>
      <c r="E878">
        <f>LN(Table1[[#This Row],[MXNUSD_real]]/C879)</f>
        <v>-3.2462055203040957E-3</v>
      </c>
      <c r="N878" s="4">
        <v>0.88837437868163072</v>
      </c>
    </row>
    <row r="879" spans="1:14" x14ac:dyDescent="0.25">
      <c r="A879" s="1">
        <v>39637</v>
      </c>
      <c r="B879" s="2">
        <v>28551.25</v>
      </c>
      <c r="C879" s="2">
        <v>10.336499999999999</v>
      </c>
      <c r="D879">
        <f>LN(Table1[[#This Row],[IPC_real]]/B880)</f>
        <v>5.8916706152104051E-3</v>
      </c>
      <c r="E879">
        <f>LN(Table1[[#This Row],[MXNUSD_real]]/C880)</f>
        <v>-1.4501162633939755E-3</v>
      </c>
      <c r="N879" s="4">
        <v>0.88888714564657711</v>
      </c>
    </row>
    <row r="880" spans="1:14" x14ac:dyDescent="0.25">
      <c r="A880" s="1">
        <v>39636</v>
      </c>
      <c r="B880" s="2">
        <v>28383.53</v>
      </c>
      <c r="C880" s="2">
        <v>10.3515</v>
      </c>
      <c r="D880">
        <f>LN(Table1[[#This Row],[IPC_real]]/B881)</f>
        <v>1.6011526357724039E-3</v>
      </c>
      <c r="E880">
        <f>LN(Table1[[#This Row],[MXNUSD_real]]/C881)</f>
        <v>1.740392027405957E-3</v>
      </c>
      <c r="N880" s="4">
        <v>0.88733627632245327</v>
      </c>
    </row>
    <row r="881" spans="1:14" x14ac:dyDescent="0.25">
      <c r="A881" s="1">
        <v>39633</v>
      </c>
      <c r="B881" s="2">
        <v>28338.12</v>
      </c>
      <c r="C881" s="2">
        <v>10.333500000000001</v>
      </c>
      <c r="D881">
        <f>LN(Table1[[#This Row],[IPC_real]]/B882)</f>
        <v>-4.4866894610089128E-3</v>
      </c>
      <c r="E881">
        <f>LN(Table1[[#This Row],[MXNUSD_real]]/C882)</f>
        <v>-1.9335820787191467E-3</v>
      </c>
      <c r="N881" s="4">
        <v>0.88767957259956554</v>
      </c>
    </row>
    <row r="882" spans="1:14" x14ac:dyDescent="0.25">
      <c r="A882" s="1">
        <v>39632</v>
      </c>
      <c r="B882" s="2">
        <v>28465.55</v>
      </c>
      <c r="C882" s="2">
        <v>10.3535</v>
      </c>
      <c r="D882">
        <f>LN(Table1[[#This Row],[IPC_real]]/B883)</f>
        <v>-7.5343711498264583E-3</v>
      </c>
      <c r="E882">
        <f>LN(Table1[[#This Row],[MXNUSD_real]]/C883)</f>
        <v>-1.3512863404568456E-3</v>
      </c>
      <c r="N882" s="4">
        <v>0.88757153904976505</v>
      </c>
    </row>
    <row r="883" spans="1:14" x14ac:dyDescent="0.25">
      <c r="A883" s="1">
        <v>39631</v>
      </c>
      <c r="B883" s="2">
        <v>28680.83</v>
      </c>
      <c r="C883" s="2">
        <v>10.3675</v>
      </c>
      <c r="D883">
        <f>LN(Table1[[#This Row],[IPC_real]]/B884)</f>
        <v>-1.8662437940152158E-2</v>
      </c>
      <c r="E883">
        <f>LN(Table1[[#This Row],[MXNUSD_real]]/C884)</f>
        <v>-1.1086208447525629E-3</v>
      </c>
      <c r="N883" s="4">
        <v>0.88715367073834039</v>
      </c>
    </row>
    <row r="884" spans="1:14" x14ac:dyDescent="0.25">
      <c r="A884" s="1">
        <v>39630</v>
      </c>
      <c r="B884" s="2">
        <v>29221.11</v>
      </c>
      <c r="C884" s="2">
        <v>10.379</v>
      </c>
      <c r="D884">
        <f>LN(Table1[[#This Row],[IPC_real]]/B885)</f>
        <v>-5.9498679361883761E-3</v>
      </c>
      <c r="E884">
        <f>LN(Table1[[#This Row],[MXNUSD_real]]/C885)</f>
        <v>6.9612579284962237E-3</v>
      </c>
      <c r="N884" s="4">
        <v>0.88852142748771012</v>
      </c>
    </row>
    <row r="885" spans="1:14" x14ac:dyDescent="0.25">
      <c r="A885" s="1">
        <v>39629</v>
      </c>
      <c r="B885" s="2">
        <v>29395.49</v>
      </c>
      <c r="C885" s="2">
        <v>10.307</v>
      </c>
      <c r="D885">
        <f>LN(Table1[[#This Row],[IPC_real]]/B886)</f>
        <v>3.4244082201476088E-3</v>
      </c>
      <c r="E885">
        <f>LN(Table1[[#This Row],[MXNUSD_real]]/C886)</f>
        <v>8.735744307061731E-4</v>
      </c>
      <c r="N885" s="4">
        <v>0.88787353256062185</v>
      </c>
    </row>
    <row r="886" spans="1:14" x14ac:dyDescent="0.25">
      <c r="A886" s="1">
        <v>39626</v>
      </c>
      <c r="B886" s="2">
        <v>29295</v>
      </c>
      <c r="C886" s="2">
        <v>10.298</v>
      </c>
      <c r="D886">
        <f>LN(Table1[[#This Row],[IPC_real]]/B887)</f>
        <v>3.2501985191476694E-3</v>
      </c>
      <c r="E886">
        <f>LN(Table1[[#This Row],[MXNUSD_real]]/C887)</f>
        <v>5.342269620269626E-4</v>
      </c>
      <c r="N886" s="4">
        <v>0.88667456116570009</v>
      </c>
    </row>
    <row r="887" spans="1:14" x14ac:dyDescent="0.25">
      <c r="A887" s="1">
        <v>39625</v>
      </c>
      <c r="B887" s="2">
        <v>29199.94</v>
      </c>
      <c r="C887" s="2">
        <v>10.2925</v>
      </c>
      <c r="D887">
        <f>LN(Table1[[#This Row],[IPC_real]]/B888)</f>
        <v>-1.257474109450081E-2</v>
      </c>
      <c r="E887">
        <f>LN(Table1[[#This Row],[MXNUSD_real]]/C888)</f>
        <v>9.2342841486922557E-4</v>
      </c>
      <c r="N887" s="4">
        <v>0.88804983112139468</v>
      </c>
    </row>
    <row r="888" spans="1:14" x14ac:dyDescent="0.25">
      <c r="A888" s="1">
        <v>39624</v>
      </c>
      <c r="B888" s="2">
        <v>29569.439999999999</v>
      </c>
      <c r="C888" s="2">
        <v>10.282999999999999</v>
      </c>
      <c r="D888">
        <f>LN(Table1[[#This Row],[IPC_real]]/B889)</f>
        <v>9.4402686774022939E-3</v>
      </c>
      <c r="E888">
        <f>LN(Table1[[#This Row],[MXNUSD_real]]/C889)</f>
        <v>-8.2626556986454289E-4</v>
      </c>
      <c r="N888" s="4">
        <v>0.88783732054903675</v>
      </c>
    </row>
    <row r="889" spans="1:14" x14ac:dyDescent="0.25">
      <c r="A889" s="1">
        <v>39623</v>
      </c>
      <c r="B889" s="2">
        <v>29291.61</v>
      </c>
      <c r="C889" s="2">
        <v>10.291499999999999</v>
      </c>
      <c r="D889">
        <f>LN(Table1[[#This Row],[IPC_real]]/B890)</f>
        <v>-5.8863795305636006E-3</v>
      </c>
      <c r="E889">
        <f>LN(Table1[[#This Row],[MXNUSD_real]]/C890)</f>
        <v>-2.6685443166592541E-3</v>
      </c>
      <c r="N889" s="4">
        <v>0.88774815632764414</v>
      </c>
    </row>
    <row r="890" spans="1:14" x14ac:dyDescent="0.25">
      <c r="A890" s="1">
        <v>39622</v>
      </c>
      <c r="B890" s="2">
        <v>29464.54</v>
      </c>
      <c r="C890" s="2">
        <v>10.319000000000001</v>
      </c>
      <c r="D890">
        <f>LN(Table1[[#This Row],[IPC_real]]/B891)</f>
        <v>-2.335674249285664E-3</v>
      </c>
      <c r="E890">
        <f>LN(Table1[[#This Row],[MXNUSD_real]]/C891)</f>
        <v>4.3217587357895935E-3</v>
      </c>
      <c r="N890" s="4">
        <v>0.8845764305820154</v>
      </c>
    </row>
    <row r="891" spans="1:14" x14ac:dyDescent="0.25">
      <c r="A891" s="1">
        <v>39619</v>
      </c>
      <c r="B891" s="2">
        <v>29533.439999999999</v>
      </c>
      <c r="C891" s="2">
        <v>10.2745</v>
      </c>
      <c r="D891">
        <f>LN(Table1[[#This Row],[IPC_real]]/B892)</f>
        <v>-1.0589629769334264E-2</v>
      </c>
      <c r="E891">
        <f>LN(Table1[[#This Row],[MXNUSD_real]]/C892)</f>
        <v>-3.546189138018737E-3</v>
      </c>
      <c r="N891" s="4">
        <v>0.88700645428057734</v>
      </c>
    </row>
    <row r="892" spans="1:14" x14ac:dyDescent="0.25">
      <c r="A892" s="1">
        <v>39618</v>
      </c>
      <c r="B892" s="2">
        <v>29847.85</v>
      </c>
      <c r="C892" s="2">
        <v>10.311</v>
      </c>
      <c r="D892">
        <f>LN(Table1[[#This Row],[IPC_real]]/B893)</f>
        <v>7.7268118777432046E-3</v>
      </c>
      <c r="E892">
        <f>LN(Table1[[#This Row],[MXNUSD_real]]/C893)</f>
        <v>1.9398642155892814E-4</v>
      </c>
      <c r="N892" s="4">
        <v>0.88713513023410007</v>
      </c>
    </row>
    <row r="893" spans="1:14" x14ac:dyDescent="0.25">
      <c r="A893" s="1">
        <v>39617</v>
      </c>
      <c r="B893" s="2">
        <v>29618.11</v>
      </c>
      <c r="C893" s="2">
        <v>10.308999999999999</v>
      </c>
      <c r="D893">
        <f>LN(Table1[[#This Row],[IPC_real]]/B894)</f>
        <v>-1.0317275393581515E-2</v>
      </c>
      <c r="E893">
        <f>LN(Table1[[#This Row],[MXNUSD_real]]/C894)</f>
        <v>-1.163354469548652E-3</v>
      </c>
      <c r="N893" s="4">
        <v>0.88698749092047946</v>
      </c>
    </row>
    <row r="894" spans="1:14" x14ac:dyDescent="0.25">
      <c r="A894" s="1">
        <v>39616</v>
      </c>
      <c r="B894" s="2">
        <v>29925.27</v>
      </c>
      <c r="C894" s="2">
        <v>10.321</v>
      </c>
      <c r="D894">
        <f>LN(Table1[[#This Row],[IPC_real]]/B895)</f>
        <v>-1.4230960586243431E-2</v>
      </c>
      <c r="E894">
        <f>LN(Table1[[#This Row],[MXNUSD_real]]/C895)</f>
        <v>0</v>
      </c>
      <c r="N894" s="4">
        <v>0.88764396107781163</v>
      </c>
    </row>
    <row r="895" spans="1:14" x14ac:dyDescent="0.25">
      <c r="A895" s="1">
        <v>39615</v>
      </c>
      <c r="B895" s="2">
        <v>30354.18</v>
      </c>
      <c r="C895" s="2">
        <v>10.321</v>
      </c>
      <c r="D895">
        <f>LN(Table1[[#This Row],[IPC_real]]/B896)</f>
        <v>-1.9516966367768022E-3</v>
      </c>
      <c r="E895">
        <f>LN(Table1[[#This Row],[MXNUSD_real]]/C896)</f>
        <v>-4.2058508736326728E-3</v>
      </c>
      <c r="N895" s="4">
        <v>0.88831515413616136</v>
      </c>
    </row>
    <row r="896" spans="1:14" x14ac:dyDescent="0.25">
      <c r="A896" s="1">
        <v>39612</v>
      </c>
      <c r="B896" s="2">
        <v>30413.48</v>
      </c>
      <c r="C896" s="2">
        <v>10.3645</v>
      </c>
      <c r="D896">
        <f>LN(Table1[[#This Row],[IPC_real]]/B897)</f>
        <v>-2.035182144349057E-3</v>
      </c>
      <c r="E896">
        <f>LN(Table1[[#This Row],[MXNUSD_real]]/C897)</f>
        <v>9.6487842606662584E-5</v>
      </c>
      <c r="N896" s="4">
        <v>0.88565861694888592</v>
      </c>
    </row>
    <row r="897" spans="1:14" x14ac:dyDescent="0.25">
      <c r="A897" s="1">
        <v>39611</v>
      </c>
      <c r="B897" s="2">
        <v>30475.439999999999</v>
      </c>
      <c r="C897" s="2">
        <v>10.3635</v>
      </c>
      <c r="D897">
        <f>LN(Table1[[#This Row],[IPC_real]]/B898)</f>
        <v>9.5860791219332965E-4</v>
      </c>
      <c r="E897">
        <f>LN(Table1[[#This Row],[MXNUSD_real]]/C898)</f>
        <v>-6.3003695242536588E-3</v>
      </c>
      <c r="N897" s="4">
        <v>0.88862776382855357</v>
      </c>
    </row>
    <row r="898" spans="1:14" x14ac:dyDescent="0.25">
      <c r="A898" s="1">
        <v>39610</v>
      </c>
      <c r="B898" s="2">
        <v>30446.240000000002</v>
      </c>
      <c r="C898" s="2">
        <v>10.429</v>
      </c>
      <c r="D898">
        <f>LN(Table1[[#This Row],[IPC_real]]/B899)</f>
        <v>-1.4757108240827536E-2</v>
      </c>
      <c r="E898">
        <f>LN(Table1[[#This Row],[MXNUSD_real]]/C899)</f>
        <v>0</v>
      </c>
      <c r="N898" s="4">
        <v>0.88726343819888132</v>
      </c>
    </row>
    <row r="899" spans="1:14" x14ac:dyDescent="0.25">
      <c r="A899" s="1">
        <v>39609</v>
      </c>
      <c r="B899" s="2">
        <v>30898.87</v>
      </c>
      <c r="C899" s="2">
        <v>10.429</v>
      </c>
      <c r="D899">
        <f>LN(Table1[[#This Row],[IPC_real]]/B900)</f>
        <v>-1.1181857382335989E-3</v>
      </c>
      <c r="E899">
        <f>LN(Table1[[#This Row],[MXNUSD_real]]/C900)</f>
        <v>7.2174686593663318E-3</v>
      </c>
      <c r="N899" s="4">
        <v>0.88776829850110583</v>
      </c>
    </row>
    <row r="900" spans="1:14" x14ac:dyDescent="0.25">
      <c r="A900" s="1">
        <v>39608</v>
      </c>
      <c r="B900" s="2">
        <v>30933.439999999999</v>
      </c>
      <c r="C900" s="2">
        <v>10.353999999999999</v>
      </c>
      <c r="D900">
        <f>LN(Table1[[#This Row],[IPC_real]]/B901)</f>
        <v>-6.9462688191705389E-3</v>
      </c>
      <c r="E900">
        <f>LN(Table1[[#This Row],[MXNUSD_real]]/C901)</f>
        <v>-1.8333579699813466E-3</v>
      </c>
      <c r="N900" s="4">
        <v>0.88733627632245327</v>
      </c>
    </row>
    <row r="901" spans="1:14" x14ac:dyDescent="0.25">
      <c r="A901" s="1">
        <v>39605</v>
      </c>
      <c r="B901" s="2">
        <v>31149.06</v>
      </c>
      <c r="C901" s="2">
        <v>10.372999999999999</v>
      </c>
      <c r="D901">
        <f>LN(Table1[[#This Row],[IPC_real]]/B902)</f>
        <v>-1.8352780971971846E-2</v>
      </c>
      <c r="E901">
        <f>LN(Table1[[#This Row],[MXNUSD_real]]/C902)</f>
        <v>6.1889763354432371E-3</v>
      </c>
      <c r="N901" s="4">
        <v>0.88885972121735812</v>
      </c>
    </row>
    <row r="902" spans="1:14" x14ac:dyDescent="0.25">
      <c r="A902" s="1">
        <v>39604</v>
      </c>
      <c r="B902" s="2">
        <v>31726.01</v>
      </c>
      <c r="C902" s="2">
        <v>10.308999999999999</v>
      </c>
      <c r="D902">
        <f>LN(Table1[[#This Row],[IPC_real]]/B903)</f>
        <v>8.7979632339620761E-3</v>
      </c>
      <c r="E902">
        <f>LN(Table1[[#This Row],[MXNUSD_real]]/C903)</f>
        <v>-6.787879048507845E-4</v>
      </c>
      <c r="N902" s="4">
        <v>0.88730007567169222</v>
      </c>
    </row>
    <row r="903" spans="1:14" x14ac:dyDescent="0.25">
      <c r="A903" s="1">
        <v>39603</v>
      </c>
      <c r="B903" s="2">
        <v>31448.11</v>
      </c>
      <c r="C903" s="2">
        <v>10.316000000000001</v>
      </c>
      <c r="D903">
        <f>LN(Table1[[#This Row],[IPC_real]]/B904)</f>
        <v>-1.4149817861951845E-3</v>
      </c>
      <c r="E903">
        <f>LN(Table1[[#This Row],[MXNUSD_real]]/C904)</f>
        <v>9.6941495883238218E-5</v>
      </c>
      <c r="N903" s="4">
        <v>0.88957925313725428</v>
      </c>
    </row>
    <row r="904" spans="1:14" x14ac:dyDescent="0.25">
      <c r="A904" s="1">
        <v>39602</v>
      </c>
      <c r="B904" s="2">
        <v>31492.639999999999</v>
      </c>
      <c r="C904" s="2">
        <v>10.315</v>
      </c>
      <c r="D904">
        <f>LN(Table1[[#This Row],[IPC_real]]/B905)</f>
        <v>-4.548482905135434E-3</v>
      </c>
      <c r="E904">
        <f>LN(Table1[[#This Row],[MXNUSD_real]]/C905)</f>
        <v>-3.6771862607609738E-3</v>
      </c>
      <c r="N904" s="4">
        <v>0.88733627632245327</v>
      </c>
    </row>
    <row r="905" spans="1:14" x14ac:dyDescent="0.25">
      <c r="A905" s="1">
        <v>39601</v>
      </c>
      <c r="B905" s="2">
        <v>31636.21</v>
      </c>
      <c r="C905" s="2">
        <v>10.353</v>
      </c>
      <c r="D905">
        <f>LN(Table1[[#This Row],[IPC_real]]/B906)</f>
        <v>-1.0666695697985607E-2</v>
      </c>
      <c r="E905">
        <f>LN(Table1[[#This Row],[MXNUSD_real]]/C906)</f>
        <v>2.1272489166677768E-3</v>
      </c>
      <c r="N905" s="4">
        <v>0.88446901687489976</v>
      </c>
    </row>
    <row r="906" spans="1:14" x14ac:dyDescent="0.25">
      <c r="A906" s="1">
        <v>39598</v>
      </c>
      <c r="B906" s="2">
        <v>31975.47</v>
      </c>
      <c r="C906" s="2">
        <v>10.331</v>
      </c>
      <c r="D906">
        <f>LN(Table1[[#This Row],[IPC_real]]/B907)</f>
        <v>4.3314302462934672E-3</v>
      </c>
      <c r="E906">
        <f>LN(Table1[[#This Row],[MXNUSD_real]]/C907)</f>
        <v>2.2772982683903205E-3</v>
      </c>
      <c r="N906" s="4">
        <v>0.88801339923853329</v>
      </c>
    </row>
    <row r="907" spans="1:14" x14ac:dyDescent="0.25">
      <c r="A907" s="1">
        <v>39597</v>
      </c>
      <c r="B907" s="2">
        <v>31837.27</v>
      </c>
      <c r="C907" s="2">
        <v>10.307499999999999</v>
      </c>
      <c r="D907">
        <f>LN(Table1[[#This Row],[IPC_real]]/B908)</f>
        <v>5.9933107696803012E-3</v>
      </c>
      <c r="E907">
        <f>LN(Table1[[#This Row],[MXNUSD_real]]/C908)</f>
        <v>-3.1480834813651043E-3</v>
      </c>
      <c r="N907" s="4">
        <v>0.88489765393822994</v>
      </c>
    </row>
    <row r="908" spans="1:14" x14ac:dyDescent="0.25">
      <c r="A908" s="1">
        <v>39596</v>
      </c>
      <c r="B908" s="2">
        <v>31647.03</v>
      </c>
      <c r="C908" s="2">
        <v>10.34</v>
      </c>
      <c r="D908">
        <f>LN(Table1[[#This Row],[IPC_real]]/B909)</f>
        <v>7.3839670084350911E-3</v>
      </c>
      <c r="E908">
        <f>LN(Table1[[#This Row],[MXNUSD_real]]/C909)</f>
        <v>-5.4974339155500979E-3</v>
      </c>
      <c r="N908" s="4">
        <v>0.88758934690896663</v>
      </c>
    </row>
    <row r="909" spans="1:14" x14ac:dyDescent="0.25">
      <c r="A909" s="1">
        <v>39595</v>
      </c>
      <c r="B909" s="2">
        <v>31414.21</v>
      </c>
      <c r="C909" s="2">
        <v>10.397</v>
      </c>
      <c r="D909">
        <f>LN(Table1[[#This Row],[IPC_real]]/B910)</f>
        <v>3.1774925520949033E-3</v>
      </c>
      <c r="E909">
        <f>LN(Table1[[#This Row],[MXNUSD_real]]/C910)</f>
        <v>-3.365789189124704E-4</v>
      </c>
      <c r="N909" s="4">
        <v>0.88729990533452363</v>
      </c>
    </row>
    <row r="910" spans="1:14" x14ac:dyDescent="0.25">
      <c r="A910" s="1">
        <v>39594</v>
      </c>
      <c r="B910" s="2">
        <v>31314.55</v>
      </c>
      <c r="C910" s="2">
        <v>10.400499999999999</v>
      </c>
      <c r="D910">
        <f>LN(Table1[[#This Row],[IPC_real]]/B911)</f>
        <v>7.8819642385416274E-3</v>
      </c>
      <c r="E910">
        <f>LN(Table1[[#This Row],[MXNUSD_real]]/C911)</f>
        <v>3.3657891891238529E-4</v>
      </c>
      <c r="N910" s="4">
        <v>0.888674031407508</v>
      </c>
    </row>
    <row r="911" spans="1:14" x14ac:dyDescent="0.25">
      <c r="A911" s="1">
        <v>39591</v>
      </c>
      <c r="B911" s="2">
        <v>31068.7</v>
      </c>
      <c r="C911" s="2">
        <v>10.397</v>
      </c>
      <c r="D911">
        <f>LN(Table1[[#This Row],[IPC_real]]/B912)</f>
        <v>-5.6802451009682802E-3</v>
      </c>
      <c r="E911">
        <f>LN(Table1[[#This Row],[MXNUSD_real]]/C912)</f>
        <v>3.2272853810109505E-3</v>
      </c>
      <c r="N911" s="4">
        <v>0.88652494476941868</v>
      </c>
    </row>
    <row r="912" spans="1:14" x14ac:dyDescent="0.25">
      <c r="A912" s="1">
        <v>39590</v>
      </c>
      <c r="B912" s="2">
        <v>31245.68</v>
      </c>
      <c r="C912" s="2">
        <v>10.3635</v>
      </c>
      <c r="D912">
        <f>LN(Table1[[#This Row],[IPC_real]]/B913)</f>
        <v>3.8353949223622948E-3</v>
      </c>
      <c r="E912">
        <f>LN(Table1[[#This Row],[MXNUSD_real]]/C913)</f>
        <v>-4.8234614093569625E-4</v>
      </c>
      <c r="N912" s="4">
        <v>0.88646666433116084</v>
      </c>
    </row>
    <row r="913" spans="1:14" x14ac:dyDescent="0.25">
      <c r="A913" s="1">
        <v>39589</v>
      </c>
      <c r="B913" s="2">
        <v>31126.07</v>
      </c>
      <c r="C913" s="2">
        <v>10.368499999999999</v>
      </c>
      <c r="D913">
        <f>LN(Table1[[#This Row],[IPC_real]]/B914)</f>
        <v>-1.2772262860341032E-2</v>
      </c>
      <c r="E913">
        <f>LN(Table1[[#This Row],[MXNUSD_real]]/C914)</f>
        <v>-3.1295916152381037E-3</v>
      </c>
      <c r="N913" s="4">
        <v>0.88848652976975784</v>
      </c>
    </row>
    <row r="914" spans="1:14" x14ac:dyDescent="0.25">
      <c r="A914" s="1">
        <v>39588</v>
      </c>
      <c r="B914" s="2">
        <v>31526.17</v>
      </c>
      <c r="C914" s="2">
        <v>10.401</v>
      </c>
      <c r="D914">
        <f>LN(Table1[[#This Row],[IPC_real]]/B915)</f>
        <v>-8.5353957671068011E-3</v>
      </c>
      <c r="E914">
        <f>LN(Table1[[#This Row],[MXNUSD_real]]/C915)</f>
        <v>2.5028892542339858E-3</v>
      </c>
      <c r="N914" s="4">
        <v>0.88930645566341449</v>
      </c>
    </row>
    <row r="915" spans="1:14" x14ac:dyDescent="0.25">
      <c r="A915" s="1">
        <v>39587</v>
      </c>
      <c r="B915" s="2">
        <v>31796.41</v>
      </c>
      <c r="C915" s="2">
        <v>10.375</v>
      </c>
      <c r="D915">
        <f>LN(Table1[[#This Row],[IPC_real]]/B916)</f>
        <v>9.7802160542004822E-3</v>
      </c>
      <c r="E915">
        <f>LN(Table1[[#This Row],[MXNUSD_real]]/C916)</f>
        <v>-3.7999997625387649E-3</v>
      </c>
      <c r="N915" s="4">
        <v>0.88746211179283963</v>
      </c>
    </row>
    <row r="916" spans="1:14" x14ac:dyDescent="0.25">
      <c r="A916" s="1">
        <v>39584</v>
      </c>
      <c r="B916" s="2">
        <v>31486.95</v>
      </c>
      <c r="C916" s="2">
        <v>10.4145</v>
      </c>
      <c r="D916">
        <f>LN(Table1[[#This Row],[IPC_real]]/B917)</f>
        <v>-1.7775689625109273E-3</v>
      </c>
      <c r="E916">
        <f>LN(Table1[[#This Row],[MXNUSD_real]]/C917)</f>
        <v>-5.649191584383052E-3</v>
      </c>
      <c r="N916" s="4">
        <v>0.887209751215989</v>
      </c>
    </row>
    <row r="917" spans="1:14" x14ac:dyDescent="0.25">
      <c r="A917" s="1">
        <v>39583</v>
      </c>
      <c r="B917" s="2">
        <v>31542.97</v>
      </c>
      <c r="C917" s="2">
        <v>10.4735</v>
      </c>
      <c r="D917">
        <f>LN(Table1[[#This Row],[IPC_real]]/B918)</f>
        <v>6.5649571004003111E-3</v>
      </c>
      <c r="E917">
        <f>LN(Table1[[#This Row],[MXNUSD_real]]/C918)</f>
        <v>-1.240458174328705E-3</v>
      </c>
      <c r="N917" s="4">
        <v>0.88609443847518954</v>
      </c>
    </row>
    <row r="918" spans="1:14" x14ac:dyDescent="0.25">
      <c r="A918" s="1">
        <v>39582</v>
      </c>
      <c r="B918" s="2">
        <v>31336.57</v>
      </c>
      <c r="C918" s="2">
        <v>10.486499999999999</v>
      </c>
      <c r="D918">
        <f>LN(Table1[[#This Row],[IPC_real]]/B919)</f>
        <v>1.4437452385534663E-2</v>
      </c>
      <c r="E918">
        <f>LN(Table1[[#This Row],[MXNUSD_real]]/C919)</f>
        <v>9.5406199098679401E-4</v>
      </c>
      <c r="N918" s="4">
        <v>0.88751639565249385</v>
      </c>
    </row>
    <row r="919" spans="1:14" x14ac:dyDescent="0.25">
      <c r="A919" s="1">
        <v>39581</v>
      </c>
      <c r="B919" s="2">
        <v>30887.4</v>
      </c>
      <c r="C919" s="2">
        <v>10.4765</v>
      </c>
      <c r="D919">
        <f>LN(Table1[[#This Row],[IPC_real]]/B920)</f>
        <v>8.1281544734951271E-3</v>
      </c>
      <c r="E919">
        <f>LN(Table1[[#This Row],[MXNUSD_real]]/C920)</f>
        <v>-4.29440541014642E-4</v>
      </c>
      <c r="N919" s="4">
        <v>0.88847994661033969</v>
      </c>
    </row>
    <row r="920" spans="1:14" x14ac:dyDescent="0.25">
      <c r="A920" s="1">
        <v>39580</v>
      </c>
      <c r="B920" s="2">
        <v>30637.360000000001</v>
      </c>
      <c r="C920" s="2">
        <v>10.481</v>
      </c>
      <c r="D920">
        <f>LN(Table1[[#This Row],[IPC_real]]/B921)</f>
        <v>-1.206947203293539E-3</v>
      </c>
      <c r="E920">
        <f>LN(Table1[[#This Row],[MXNUSD_real]]/C921)</f>
        <v>-8.8813483026273458E-3</v>
      </c>
      <c r="N920" s="4">
        <v>0.88637878040815798</v>
      </c>
    </row>
    <row r="921" spans="1:14" x14ac:dyDescent="0.25">
      <c r="A921" s="1">
        <v>39577</v>
      </c>
      <c r="B921" s="2">
        <v>30674.36</v>
      </c>
      <c r="C921" s="2">
        <v>10.5745</v>
      </c>
      <c r="D921">
        <f>LN(Table1[[#This Row],[IPC_real]]/B922)</f>
        <v>-2.5269307574597457E-3</v>
      </c>
      <c r="E921">
        <f>LN(Table1[[#This Row],[MXNUSD_real]]/C922)</f>
        <v>5.6756374791324586E-4</v>
      </c>
      <c r="N921" s="4">
        <v>0.88871731622769568</v>
      </c>
    </row>
    <row r="922" spans="1:14" x14ac:dyDescent="0.25">
      <c r="A922" s="1">
        <v>39576</v>
      </c>
      <c r="B922" s="2">
        <v>30751.97</v>
      </c>
      <c r="C922" s="2">
        <v>10.5685</v>
      </c>
      <c r="D922">
        <f>LN(Table1[[#This Row],[IPC_real]]/B923)</f>
        <v>-3.3130599727919488E-4</v>
      </c>
      <c r="E922">
        <f>LN(Table1[[#This Row],[MXNUSD_real]]/C923)</f>
        <v>2.1786500992221724E-3</v>
      </c>
      <c r="N922" s="4">
        <v>0.88935830363415369</v>
      </c>
    </row>
    <row r="923" spans="1:14" x14ac:dyDescent="0.25">
      <c r="A923" s="1">
        <v>39575</v>
      </c>
      <c r="B923" s="2">
        <v>30762.16</v>
      </c>
      <c r="C923" s="2">
        <v>10.545500000000001</v>
      </c>
      <c r="D923">
        <f>LN(Table1[[#This Row],[IPC_real]]/B924)</f>
        <v>-1.488309101263002E-2</v>
      </c>
      <c r="E923">
        <f>LN(Table1[[#This Row],[MXNUSD_real]]/C924)</f>
        <v>4.4192141107280321E-3</v>
      </c>
      <c r="N923" s="4">
        <v>0.8877966422741016</v>
      </c>
    </row>
    <row r="924" spans="1:14" x14ac:dyDescent="0.25">
      <c r="A924" s="1">
        <v>39574</v>
      </c>
      <c r="B924" s="2">
        <v>31223.42</v>
      </c>
      <c r="C924" s="2">
        <v>10.499000000000001</v>
      </c>
      <c r="D924">
        <f>LN(Table1[[#This Row],[IPC_real]]/B925)</f>
        <v>8.5082588853853773E-3</v>
      </c>
      <c r="E924">
        <f>LN(Table1[[#This Row],[MXNUSD_real]]/C925)</f>
        <v>1.9067600399998259E-3</v>
      </c>
      <c r="N924" s="4">
        <v>0.8869758310243856</v>
      </c>
    </row>
    <row r="925" spans="1:14" x14ac:dyDescent="0.25">
      <c r="A925" s="1">
        <v>39573</v>
      </c>
      <c r="B925" s="2">
        <v>30958.89</v>
      </c>
      <c r="C925" s="2">
        <v>10.478999999999999</v>
      </c>
      <c r="D925">
        <f>LN(Table1[[#This Row],[IPC_real]]/B926)</f>
        <v>1.3247393066038645E-2</v>
      </c>
      <c r="E925">
        <f>LN(Table1[[#This Row],[MXNUSD_real]]/C926)</f>
        <v>1.5280300938943097E-3</v>
      </c>
      <c r="N925" s="4">
        <v>0.88749670846137318</v>
      </c>
    </row>
    <row r="926" spans="1:14" x14ac:dyDescent="0.25">
      <c r="A926" s="1">
        <v>39570</v>
      </c>
      <c r="B926" s="2">
        <v>30551.47</v>
      </c>
      <c r="C926" s="2">
        <v>10.462999999999999</v>
      </c>
      <c r="D926">
        <f>LN(Table1[[#This Row],[IPC_real]]/B927)</f>
        <v>8.8788094247753309E-3</v>
      </c>
      <c r="E926">
        <f>LN(Table1[[#This Row],[MXNUSD_real]]/C927)</f>
        <v>-4.8624779983460755E-3</v>
      </c>
      <c r="N926" s="4">
        <v>0.89043085480028938</v>
      </c>
    </row>
    <row r="927" spans="1:14" x14ac:dyDescent="0.25">
      <c r="A927" s="1">
        <v>39568</v>
      </c>
      <c r="B927" s="2">
        <v>30281.41</v>
      </c>
      <c r="C927" s="2">
        <v>10.513999999999999</v>
      </c>
      <c r="D927">
        <f>LN(Table1[[#This Row],[IPC_real]]/B928)</f>
        <v>3.5572701877373541E-4</v>
      </c>
      <c r="E927">
        <f>LN(Table1[[#This Row],[MXNUSD_real]]/C928)</f>
        <v>-2.6595760357588311E-3</v>
      </c>
      <c r="N927" s="4">
        <v>0.88712252058269336</v>
      </c>
    </row>
    <row r="928" spans="1:14" x14ac:dyDescent="0.25">
      <c r="A928" s="1">
        <v>39567</v>
      </c>
      <c r="B928" s="2">
        <v>30270.639999999999</v>
      </c>
      <c r="C928" s="2">
        <v>10.542</v>
      </c>
      <c r="D928">
        <f>LN(Table1[[#This Row],[IPC_real]]/B929)</f>
        <v>-1.1585830198357339E-2</v>
      </c>
      <c r="E928">
        <f>LN(Table1[[#This Row],[MXNUSD_real]]/C929)</f>
        <v>7.5698426174213313E-3</v>
      </c>
      <c r="N928" s="4">
        <v>0.8865049958076977</v>
      </c>
    </row>
    <row r="929" spans="1:14" x14ac:dyDescent="0.25">
      <c r="A929" s="1">
        <v>39566</v>
      </c>
      <c r="B929" s="2">
        <v>30623.39</v>
      </c>
      <c r="C929" s="2">
        <v>10.4625</v>
      </c>
      <c r="D929">
        <f>LN(Table1[[#This Row],[IPC_real]]/B930)</f>
        <v>-1.251403384978424E-2</v>
      </c>
      <c r="E929">
        <f>LN(Table1[[#This Row],[MXNUSD_real]]/C930)</f>
        <v>-4.7788583316436973E-5</v>
      </c>
      <c r="N929" s="4">
        <v>0.8856194455200832</v>
      </c>
    </row>
    <row r="930" spans="1:14" x14ac:dyDescent="0.25">
      <c r="A930" s="1">
        <v>39563</v>
      </c>
      <c r="B930" s="2">
        <v>31009.02</v>
      </c>
      <c r="C930" s="2">
        <v>10.462999999999999</v>
      </c>
      <c r="D930">
        <f>LN(Table1[[#This Row],[IPC_real]]/B931)</f>
        <v>-2.3495848226871858E-2</v>
      </c>
      <c r="E930">
        <f>LN(Table1[[#This Row],[MXNUSD_real]]/C931)</f>
        <v>2.0569741042163621E-3</v>
      </c>
      <c r="N930" s="4">
        <v>0.88661033184562432</v>
      </c>
    </row>
    <row r="931" spans="1:14" x14ac:dyDescent="0.25">
      <c r="A931" s="1">
        <v>39562</v>
      </c>
      <c r="B931" s="2">
        <v>31746.23</v>
      </c>
      <c r="C931" s="2">
        <v>10.4415</v>
      </c>
      <c r="D931">
        <f>LN(Table1[[#This Row],[IPC_real]]/B932)</f>
        <v>-3.1999795838502732E-3</v>
      </c>
      <c r="E931">
        <f>LN(Table1[[#This Row],[MXNUSD_real]]/C932)</f>
        <v>-3.2986763507717614E-3</v>
      </c>
      <c r="N931" s="4">
        <v>0.88675629923493582</v>
      </c>
    </row>
    <row r="932" spans="1:14" x14ac:dyDescent="0.25">
      <c r="A932" s="1">
        <v>39561</v>
      </c>
      <c r="B932" s="2">
        <v>31847.98</v>
      </c>
      <c r="C932" s="2">
        <v>10.476000000000001</v>
      </c>
      <c r="D932">
        <f>LN(Table1[[#This Row],[IPC_real]]/B933)</f>
        <v>-6.0024253709177805E-3</v>
      </c>
      <c r="E932">
        <f>LN(Table1[[#This Row],[MXNUSD_real]]/C933)</f>
        <v>-2.0978361846424286E-3</v>
      </c>
      <c r="N932" s="4">
        <v>0.8890880609134999</v>
      </c>
    </row>
    <row r="933" spans="1:14" x14ac:dyDescent="0.25">
      <c r="A933" s="1">
        <v>39560</v>
      </c>
      <c r="B933" s="2">
        <v>32039.72</v>
      </c>
      <c r="C933" s="2">
        <v>10.497999999999999</v>
      </c>
      <c r="D933">
        <f>LN(Table1[[#This Row],[IPC_real]]/B934)</f>
        <v>-1.7251179771938818E-3</v>
      </c>
      <c r="E933">
        <f>LN(Table1[[#This Row],[MXNUSD_real]]/C934)</f>
        <v>-3.8030089569860556E-3</v>
      </c>
      <c r="N933" s="4">
        <v>0.88831193603178715</v>
      </c>
    </row>
    <row r="934" spans="1:14" x14ac:dyDescent="0.25">
      <c r="A934" s="1">
        <v>39559</v>
      </c>
      <c r="B934" s="2">
        <v>32095.040000000001</v>
      </c>
      <c r="C934" s="2">
        <v>10.538</v>
      </c>
      <c r="D934">
        <f>LN(Table1[[#This Row],[IPC_real]]/B935)</f>
        <v>9.3710695618031588E-3</v>
      </c>
      <c r="E934">
        <f>LN(Table1[[#This Row],[MXNUSD_real]]/C935)</f>
        <v>6.8558638370779653E-3</v>
      </c>
      <c r="N934" s="4">
        <v>0.88432059734394886</v>
      </c>
    </row>
    <row r="935" spans="1:14" x14ac:dyDescent="0.25">
      <c r="A935" s="1">
        <v>39556</v>
      </c>
      <c r="B935" s="2">
        <v>31795.68</v>
      </c>
      <c r="C935" s="2">
        <v>10.465999999999999</v>
      </c>
      <c r="D935">
        <f>LN(Table1[[#This Row],[IPC_real]]/B936)</f>
        <v>3.0480483054377166E-4</v>
      </c>
      <c r="E935">
        <f>LN(Table1[[#This Row],[MXNUSD_real]]/C936)</f>
        <v>-1.6706846531402558E-3</v>
      </c>
      <c r="N935" s="4">
        <v>0.88735418482369022</v>
      </c>
    </row>
    <row r="936" spans="1:14" x14ac:dyDescent="0.25">
      <c r="A936" s="1">
        <v>39555</v>
      </c>
      <c r="B936" s="2">
        <v>31785.99</v>
      </c>
      <c r="C936" s="2">
        <v>10.483499999999999</v>
      </c>
      <c r="D936">
        <f>LN(Table1[[#This Row],[IPC_real]]/B937)</f>
        <v>-3.9003946069207248E-3</v>
      </c>
      <c r="E936">
        <f>LN(Table1[[#This Row],[MXNUSD_real]]/C937)</f>
        <v>1.9573682042461011E-3</v>
      </c>
      <c r="N936" s="4">
        <v>0.88655219219853476</v>
      </c>
    </row>
    <row r="937" spans="1:14" x14ac:dyDescent="0.25">
      <c r="A937" s="1">
        <v>39554</v>
      </c>
      <c r="B937" s="2">
        <v>31910.21</v>
      </c>
      <c r="C937" s="2">
        <v>10.462999999999999</v>
      </c>
      <c r="D937">
        <f>LN(Table1[[#This Row],[IPC_real]]/B938)</f>
        <v>1.6884345399571531E-2</v>
      </c>
      <c r="E937">
        <f>LN(Table1[[#This Row],[MXNUSD_real]]/C938)</f>
        <v>-2.3890866635373315E-4</v>
      </c>
      <c r="N937" s="4">
        <v>0.88854006558379561</v>
      </c>
    </row>
    <row r="938" spans="1:14" x14ac:dyDescent="0.25">
      <c r="A938" s="1">
        <v>39553</v>
      </c>
      <c r="B938" s="2">
        <v>31375.95</v>
      </c>
      <c r="C938" s="2">
        <v>10.4655</v>
      </c>
      <c r="D938">
        <f>LN(Table1[[#This Row],[IPC_real]]/B939)</f>
        <v>5.8646357549508431E-3</v>
      </c>
      <c r="E938">
        <f>LN(Table1[[#This Row],[MXNUSD_real]]/C939)</f>
        <v>-1.9569010850771702E-3</v>
      </c>
      <c r="N938" s="4">
        <v>0.88810940785712045</v>
      </c>
    </row>
    <row r="939" spans="1:14" x14ac:dyDescent="0.25">
      <c r="A939" s="1">
        <v>39552</v>
      </c>
      <c r="B939" s="2">
        <v>31192.48</v>
      </c>
      <c r="C939" s="2">
        <v>10.486000000000001</v>
      </c>
      <c r="D939">
        <f>LN(Table1[[#This Row],[IPC_real]]/B940)</f>
        <v>-3.5231626785138951E-3</v>
      </c>
      <c r="E939">
        <f>LN(Table1[[#This Row],[MXNUSD_real]]/C940)</f>
        <v>-4.709472824384154E-3</v>
      </c>
      <c r="N939" s="4">
        <v>0.8887183756777759</v>
      </c>
    </row>
    <row r="940" spans="1:14" x14ac:dyDescent="0.25">
      <c r="A940" s="1">
        <v>39549</v>
      </c>
      <c r="B940" s="2">
        <v>31302.57</v>
      </c>
      <c r="C940" s="2">
        <v>10.535500000000001</v>
      </c>
      <c r="D940">
        <f>LN(Table1[[#This Row],[IPC_real]]/B941)</f>
        <v>-1.100792954033687E-2</v>
      </c>
      <c r="E940">
        <f>LN(Table1[[#This Row],[MXNUSD_real]]/C941)</f>
        <v>-2.3726481236885073E-4</v>
      </c>
      <c r="N940" s="4">
        <v>0.88462049350831762</v>
      </c>
    </row>
    <row r="941" spans="1:14" x14ac:dyDescent="0.25">
      <c r="A941" s="1">
        <v>39548</v>
      </c>
      <c r="B941" s="2">
        <v>31649.05</v>
      </c>
      <c r="C941" s="2">
        <v>10.538</v>
      </c>
      <c r="D941">
        <f>LN(Table1[[#This Row],[IPC_real]]/B942)</f>
        <v>7.3325661897474552E-3</v>
      </c>
      <c r="E941">
        <f>LN(Table1[[#This Row],[MXNUSD_real]]/C942)</f>
        <v>-3.410386026164388E-3</v>
      </c>
      <c r="N941" s="4">
        <v>0.88795413837904524</v>
      </c>
    </row>
    <row r="942" spans="1:14" x14ac:dyDescent="0.25">
      <c r="A942" s="1">
        <v>39547</v>
      </c>
      <c r="B942" s="2">
        <v>31417.83</v>
      </c>
      <c r="C942" s="2">
        <v>10.574</v>
      </c>
      <c r="D942">
        <f>LN(Table1[[#This Row],[IPC_real]]/B943)</f>
        <v>-9.7880745712892875E-3</v>
      </c>
      <c r="E942">
        <f>LN(Table1[[#This Row],[MXNUSD_real]]/C943)</f>
        <v>5.2027907050401334E-4</v>
      </c>
      <c r="N942" s="4">
        <v>0.88659075976793811</v>
      </c>
    </row>
    <row r="943" spans="1:14" x14ac:dyDescent="0.25">
      <c r="A943" s="1">
        <v>39546</v>
      </c>
      <c r="B943" s="2">
        <v>31726.86</v>
      </c>
      <c r="C943" s="2">
        <v>10.5685</v>
      </c>
      <c r="D943">
        <f>LN(Table1[[#This Row],[IPC_real]]/B944)</f>
        <v>3.6001217242587501E-4</v>
      </c>
      <c r="E943">
        <f>LN(Table1[[#This Row],[MXNUSD_real]]/C944)</f>
        <v>2.510600309739363E-3</v>
      </c>
      <c r="N943" s="4">
        <v>0.88742566711260062</v>
      </c>
    </row>
    <row r="944" spans="1:14" x14ac:dyDescent="0.25">
      <c r="A944" s="1">
        <v>39545</v>
      </c>
      <c r="B944" s="2">
        <v>31715.439999999999</v>
      </c>
      <c r="C944" s="2">
        <v>10.542</v>
      </c>
      <c r="D944">
        <f>LN(Table1[[#This Row],[IPC_real]]/B945)</f>
        <v>5.3768015214063648E-3</v>
      </c>
      <c r="E944">
        <f>LN(Table1[[#This Row],[MXNUSD_real]]/C945)</f>
        <v>-2.46328878700907E-3</v>
      </c>
      <c r="N944" s="4">
        <v>0.88805829903246181</v>
      </c>
    </row>
    <row r="945" spans="1:14" x14ac:dyDescent="0.25">
      <c r="A945" s="1">
        <v>39542</v>
      </c>
      <c r="B945" s="2">
        <v>31545.37</v>
      </c>
      <c r="C945" s="2">
        <v>10.568</v>
      </c>
      <c r="D945">
        <f>LN(Table1[[#This Row],[IPC_real]]/B946)</f>
        <v>-4.5620398761145016E-3</v>
      </c>
      <c r="E945">
        <f>LN(Table1[[#This Row],[MXNUSD_real]]/C946)</f>
        <v>9.4670081859967814E-4</v>
      </c>
      <c r="N945" s="4">
        <v>0.88903508068441628</v>
      </c>
    </row>
    <row r="946" spans="1:14" x14ac:dyDescent="0.25">
      <c r="A946" s="1">
        <v>39541</v>
      </c>
      <c r="B946" s="2">
        <v>31689.61</v>
      </c>
      <c r="C946" s="2">
        <v>10.558</v>
      </c>
      <c r="D946">
        <f>LN(Table1[[#This Row],[IPC_real]]/B947)</f>
        <v>7.0218416281574662E-3</v>
      </c>
      <c r="E946">
        <f>LN(Table1[[#This Row],[MXNUSD_real]]/C947)</f>
        <v>-1.5615760892431843E-3</v>
      </c>
      <c r="N946" s="4">
        <v>0.88742505322897169</v>
      </c>
    </row>
    <row r="947" spans="1:14" x14ac:dyDescent="0.25">
      <c r="A947" s="1">
        <v>39540</v>
      </c>
      <c r="B947" s="2">
        <v>31467.87</v>
      </c>
      <c r="C947" s="2">
        <v>10.5745</v>
      </c>
      <c r="D947">
        <f>LN(Table1[[#This Row],[IPC_real]]/B948)</f>
        <v>-1.0111768057849526E-2</v>
      </c>
      <c r="E947">
        <f>LN(Table1[[#This Row],[MXNUSD_real]]/C948)</f>
        <v>-1.8423606316673117E-3</v>
      </c>
      <c r="N947" s="4">
        <v>0.88857969136118398</v>
      </c>
    </row>
    <row r="948" spans="1:14" x14ac:dyDescent="0.25">
      <c r="A948" s="1">
        <v>39539</v>
      </c>
      <c r="B948" s="2">
        <v>31787.68</v>
      </c>
      <c r="C948" s="2">
        <v>10.593999999999999</v>
      </c>
      <c r="D948">
        <f>LN(Table1[[#This Row],[IPC_real]]/B949)</f>
        <v>2.7902309420641199E-2</v>
      </c>
      <c r="E948">
        <f>LN(Table1[[#This Row],[MXNUSD_real]]/C949)</f>
        <v>-4.5676155978355134E-3</v>
      </c>
      <c r="N948" s="4">
        <v>0.88714040401352101</v>
      </c>
    </row>
    <row r="949" spans="1:14" x14ac:dyDescent="0.25">
      <c r="A949" s="1">
        <v>39538</v>
      </c>
      <c r="B949" s="2">
        <v>30912.99</v>
      </c>
      <c r="C949" s="2">
        <v>10.6425</v>
      </c>
      <c r="D949">
        <f>LN(Table1[[#This Row],[IPC_real]]/B950)</f>
        <v>2.698691664160106E-2</v>
      </c>
      <c r="E949">
        <f>LN(Table1[[#This Row],[MXNUSD_real]]/C950)</f>
        <v>-4.967673539552379E-3</v>
      </c>
      <c r="N949" s="4">
        <v>0.88637577081949281</v>
      </c>
    </row>
    <row r="950" spans="1:14" x14ac:dyDescent="0.25">
      <c r="A950" s="1">
        <v>39535</v>
      </c>
      <c r="B950" s="2">
        <v>30089.9</v>
      </c>
      <c r="C950" s="2">
        <v>10.695499999999999</v>
      </c>
      <c r="D950">
        <f>LN(Table1[[#This Row],[IPC_real]]/B951)</f>
        <v>3.4239454725751572E-3</v>
      </c>
      <c r="E950">
        <f>LN(Table1[[#This Row],[MXNUSD_real]]/C951)</f>
        <v>-9.3492894608285446E-5</v>
      </c>
      <c r="N950" s="4">
        <v>0.88824138163248234</v>
      </c>
    </row>
    <row r="951" spans="1:14" x14ac:dyDescent="0.25">
      <c r="A951" s="1">
        <v>39534</v>
      </c>
      <c r="B951" s="2">
        <v>29987.05</v>
      </c>
      <c r="C951" s="2">
        <v>10.6965</v>
      </c>
      <c r="D951">
        <f>LN(Table1[[#This Row],[IPC_real]]/B952)</f>
        <v>-2.3386073384371185E-3</v>
      </c>
      <c r="E951">
        <f>LN(Table1[[#This Row],[MXNUSD_real]]/C952)</f>
        <v>4.6745354688868432E-5</v>
      </c>
      <c r="N951" s="4">
        <v>0.88697863339365779</v>
      </c>
    </row>
    <row r="952" spans="1:14" x14ac:dyDescent="0.25">
      <c r="A952" s="1">
        <v>39533</v>
      </c>
      <c r="B952" s="2">
        <v>30057.26</v>
      </c>
      <c r="C952" s="2">
        <v>10.696</v>
      </c>
      <c r="D952">
        <f>LN(Table1[[#This Row],[IPC_real]]/B953)</f>
        <v>2.5377130974368338E-3</v>
      </c>
      <c r="E952">
        <f>LN(Table1[[#This Row],[MXNUSD_real]]/C953)</f>
        <v>1.1225445519275885E-3</v>
      </c>
      <c r="N952" s="4">
        <v>0.88791430168772445</v>
      </c>
    </row>
    <row r="953" spans="1:14" x14ac:dyDescent="0.25">
      <c r="A953" s="1">
        <v>39532</v>
      </c>
      <c r="B953" s="2">
        <v>29981.08</v>
      </c>
      <c r="C953" s="2">
        <v>10.683999999999999</v>
      </c>
      <c r="D953">
        <f>LN(Table1[[#This Row],[IPC_real]]/B954)</f>
        <v>1.163876606602848E-2</v>
      </c>
      <c r="E953">
        <f>LN(Table1[[#This Row],[MXNUSD_real]]/C954)</f>
        <v>-9.8229537566163158E-4</v>
      </c>
      <c r="N953" s="4">
        <v>0.88801667420886632</v>
      </c>
    </row>
    <row r="954" spans="1:14" x14ac:dyDescent="0.25">
      <c r="A954" s="1">
        <v>39531</v>
      </c>
      <c r="B954" s="2">
        <v>29634.16</v>
      </c>
      <c r="C954" s="2">
        <v>10.6945</v>
      </c>
      <c r="D954">
        <f>LN(Table1[[#This Row],[IPC_real]]/B955)</f>
        <v>1.9174940835935999E-2</v>
      </c>
      <c r="E954">
        <f>LN(Table1[[#This Row],[MXNUSD_real]]/C955)</f>
        <v>-1.3549187953618537E-3</v>
      </c>
      <c r="N954" s="4">
        <v>0.88898583760491934</v>
      </c>
    </row>
    <row r="955" spans="1:14" x14ac:dyDescent="0.25">
      <c r="A955" s="1">
        <v>39526</v>
      </c>
      <c r="B955" s="2">
        <v>29071.34</v>
      </c>
      <c r="C955" s="2">
        <v>10.709</v>
      </c>
      <c r="D955">
        <f>LN(Table1[[#This Row],[IPC_real]]/B956)</f>
        <v>-1.5164433971962273E-2</v>
      </c>
      <c r="E955">
        <f>LN(Table1[[#This Row],[MXNUSD_real]]/C956)</f>
        <v>2.8521351888373329E-3</v>
      </c>
      <c r="N955" s="4">
        <v>0.88912440658776593</v>
      </c>
    </row>
    <row r="956" spans="1:14" x14ac:dyDescent="0.25">
      <c r="A956" s="1">
        <v>39525</v>
      </c>
      <c r="B956" s="2">
        <v>29515.55</v>
      </c>
      <c r="C956" s="2">
        <v>10.6785</v>
      </c>
      <c r="D956">
        <f>LN(Table1[[#This Row],[IPC_real]]/B957)</f>
        <v>1.595005200690958E-2</v>
      </c>
      <c r="E956">
        <f>LN(Table1[[#This Row],[MXNUSD_real]]/C957)</f>
        <v>-6.9524111784887528E-3</v>
      </c>
      <c r="N956" s="4">
        <v>0.88737129925414082</v>
      </c>
    </row>
    <row r="957" spans="1:14" x14ac:dyDescent="0.25">
      <c r="A957" s="1">
        <v>39521</v>
      </c>
      <c r="B957" s="2">
        <v>29048.51</v>
      </c>
      <c r="C957" s="2">
        <v>10.753</v>
      </c>
      <c r="D957">
        <f>LN(Table1[[#This Row],[IPC_real]]/B958)</f>
        <v>-2.228388969616563E-2</v>
      </c>
      <c r="E957">
        <f>LN(Table1[[#This Row],[MXNUSD_real]]/C958)</f>
        <v>1.8601190529820373E-4</v>
      </c>
      <c r="N957" s="4">
        <v>0.88731874531467103</v>
      </c>
    </row>
    <row r="958" spans="1:14" x14ac:dyDescent="0.25">
      <c r="A958" s="1">
        <v>39520</v>
      </c>
      <c r="B958" s="2">
        <v>29703.09</v>
      </c>
      <c r="C958" s="2">
        <v>10.750999999999999</v>
      </c>
      <c r="D958">
        <f>LN(Table1[[#This Row],[IPC_real]]/B959)</f>
        <v>1.4230278230607407E-2</v>
      </c>
      <c r="E958">
        <f>LN(Table1[[#This Row],[MXNUSD_real]]/C959)</f>
        <v>-1.3013573132354163E-3</v>
      </c>
      <c r="N958" s="4">
        <v>0.88691159951365373</v>
      </c>
    </row>
    <row r="959" spans="1:14" x14ac:dyDescent="0.25">
      <c r="A959" s="1">
        <v>39519</v>
      </c>
      <c r="B959" s="2">
        <v>29283.4</v>
      </c>
      <c r="C959" s="2">
        <v>10.765000000000001</v>
      </c>
      <c r="D959">
        <f>LN(Table1[[#This Row],[IPC_real]]/B960)</f>
        <v>-6.2220230595581311E-3</v>
      </c>
      <c r="E959">
        <f>LN(Table1[[#This Row],[MXNUSD_real]]/C960)</f>
        <v>-6.0362642001837632E-4</v>
      </c>
      <c r="N959" s="4">
        <v>0.88770159903719503</v>
      </c>
    </row>
    <row r="960" spans="1:14" x14ac:dyDescent="0.25">
      <c r="A960" s="1">
        <v>39518</v>
      </c>
      <c r="B960" s="2">
        <v>29466.17</v>
      </c>
      <c r="C960" s="2">
        <v>10.7715</v>
      </c>
      <c r="D960">
        <f>LN(Table1[[#This Row],[IPC_real]]/B961)</f>
        <v>4.3662370455569401E-2</v>
      </c>
      <c r="E960">
        <f>LN(Table1[[#This Row],[MXNUSD_real]]/C961)</f>
        <v>-7.0769739616949436E-3</v>
      </c>
      <c r="N960" s="4">
        <v>0.88783865254899419</v>
      </c>
    </row>
    <row r="961" spans="1:14" x14ac:dyDescent="0.25">
      <c r="A961" s="1">
        <v>39517</v>
      </c>
      <c r="B961" s="2">
        <v>28207.29</v>
      </c>
      <c r="C961" s="2">
        <v>10.848000000000001</v>
      </c>
      <c r="D961">
        <f>LN(Table1[[#This Row],[IPC_real]]/B962)</f>
        <v>-1.4271967506195752E-2</v>
      </c>
      <c r="E961">
        <f>LN(Table1[[#This Row],[MXNUSD_real]]/C962)</f>
        <v>1.2913939623327945E-3</v>
      </c>
      <c r="N961" s="4">
        <v>0.88624210100504142</v>
      </c>
    </row>
    <row r="962" spans="1:14" x14ac:dyDescent="0.25">
      <c r="A962" s="1">
        <v>39514</v>
      </c>
      <c r="B962" s="2">
        <v>28612.75</v>
      </c>
      <c r="C962" s="2">
        <v>10.834</v>
      </c>
      <c r="D962">
        <f>LN(Table1[[#This Row],[IPC_real]]/B963)</f>
        <v>-3.6382521212612335E-3</v>
      </c>
      <c r="E962">
        <f>LN(Table1[[#This Row],[MXNUSD_real]]/C963)</f>
        <v>1.4779237864719784E-3</v>
      </c>
      <c r="N962" s="4">
        <v>0.88979802527632812</v>
      </c>
    </row>
    <row r="963" spans="1:14" x14ac:dyDescent="0.25">
      <c r="A963" s="1">
        <v>39513</v>
      </c>
      <c r="B963" s="2">
        <v>28717.040000000001</v>
      </c>
      <c r="C963" s="2">
        <v>10.818</v>
      </c>
      <c r="D963">
        <f>LN(Table1[[#This Row],[IPC_real]]/B964)</f>
        <v>-1.9323504731058035E-2</v>
      </c>
      <c r="E963">
        <f>LN(Table1[[#This Row],[MXNUSD_real]]/C964)</f>
        <v>1.0640622664095146E-2</v>
      </c>
      <c r="N963" s="4">
        <v>0.88726643699376695</v>
      </c>
    </row>
    <row r="964" spans="1:14" x14ac:dyDescent="0.25">
      <c r="A964" s="1">
        <v>39512</v>
      </c>
      <c r="B964" s="2">
        <v>29277.35</v>
      </c>
      <c r="C964" s="2">
        <v>10.7035</v>
      </c>
      <c r="D964">
        <f>LN(Table1[[#This Row],[IPC_real]]/B965)</f>
        <v>5.5484891186507112E-4</v>
      </c>
      <c r="E964">
        <f>LN(Table1[[#This Row],[MXNUSD_real]]/C965)</f>
        <v>-2.1465243892831885E-3</v>
      </c>
      <c r="N964" s="4">
        <v>0.88781900380767598</v>
      </c>
    </row>
    <row r="965" spans="1:14" x14ac:dyDescent="0.25">
      <c r="A965" s="1">
        <v>39511</v>
      </c>
      <c r="B965" s="2">
        <v>29261.11</v>
      </c>
      <c r="C965" s="2">
        <v>10.7265</v>
      </c>
      <c r="D965">
        <f>LN(Table1[[#This Row],[IPC_real]]/B966)</f>
        <v>-9.0356081284146579E-3</v>
      </c>
      <c r="E965">
        <f>LN(Table1[[#This Row],[MXNUSD_real]]/C966)</f>
        <v>2.0250761657811087E-3</v>
      </c>
      <c r="N965" s="4">
        <v>0.88756146231811717</v>
      </c>
    </row>
    <row r="966" spans="1:14" x14ac:dyDescent="0.25">
      <c r="A966" s="1">
        <v>39510</v>
      </c>
      <c r="B966" s="2">
        <v>29526.7</v>
      </c>
      <c r="C966" s="2">
        <v>10.704800000000001</v>
      </c>
      <c r="D966">
        <f>LN(Table1[[#This Row],[IPC_real]]/B967)</f>
        <v>2.0812718425252064E-2</v>
      </c>
      <c r="E966">
        <f>LN(Table1[[#This Row],[MXNUSD_real]]/C967)</f>
        <v>-9.5238991689827106E-4</v>
      </c>
      <c r="N966" s="4">
        <v>0.88983953812224126</v>
      </c>
    </row>
    <row r="967" spans="1:14" x14ac:dyDescent="0.25">
      <c r="A967" s="1">
        <v>39507</v>
      </c>
      <c r="B967" s="2">
        <v>28918.52</v>
      </c>
      <c r="C967" s="2">
        <v>10.715</v>
      </c>
      <c r="D967">
        <f>LN(Table1[[#This Row],[IPC_real]]/B968)</f>
        <v>-4.105473176717879E-2</v>
      </c>
      <c r="E967">
        <f>LN(Table1[[#This Row],[MXNUSD_real]]/C968)</f>
        <v>4.4428928455222142E-3</v>
      </c>
      <c r="N967" s="4">
        <v>0.88684705330368541</v>
      </c>
    </row>
    <row r="968" spans="1:14" x14ac:dyDescent="0.25">
      <c r="A968" s="1">
        <v>39506</v>
      </c>
      <c r="B968" s="2">
        <v>30130.47</v>
      </c>
      <c r="C968" s="2">
        <v>10.6675</v>
      </c>
      <c r="D968">
        <f>LN(Table1[[#This Row],[IPC_real]]/B969)</f>
        <v>-9.7197985014445144E-3</v>
      </c>
      <c r="E968">
        <f>LN(Table1[[#This Row],[MXNUSD_real]]/C969)</f>
        <v>-6.6802387960614865E-3</v>
      </c>
      <c r="N968" s="4">
        <v>0.88677554463221586</v>
      </c>
    </row>
    <row r="969" spans="1:14" x14ac:dyDescent="0.25">
      <c r="A969" s="1">
        <v>39505</v>
      </c>
      <c r="B969" s="2">
        <v>30424.76</v>
      </c>
      <c r="C969" s="2">
        <v>10.739000000000001</v>
      </c>
      <c r="D969">
        <f>LN(Table1[[#This Row],[IPC_real]]/B970)</f>
        <v>6.4854568848476428E-3</v>
      </c>
      <c r="E969">
        <f>LN(Table1[[#This Row],[MXNUSD_real]]/C970)</f>
        <v>6.5204231270180122E-4</v>
      </c>
      <c r="N969" s="4">
        <v>0.88299301285644649</v>
      </c>
    </row>
    <row r="970" spans="1:14" x14ac:dyDescent="0.25">
      <c r="A970" s="1">
        <v>39504</v>
      </c>
      <c r="B970" s="2">
        <v>30228.080000000002</v>
      </c>
      <c r="C970" s="2">
        <v>10.731999999999999</v>
      </c>
      <c r="D970">
        <f>LN(Table1[[#This Row],[IPC_real]]/B971)</f>
        <v>8.8120115079395028E-3</v>
      </c>
      <c r="E970">
        <f>LN(Table1[[#This Row],[MXNUSD_real]]/C971)</f>
        <v>-4.5090140310922846E-3</v>
      </c>
      <c r="N970" s="4">
        <v>0.88812703651603353</v>
      </c>
    </row>
    <row r="971" spans="1:14" x14ac:dyDescent="0.25">
      <c r="A971" s="1">
        <v>39503</v>
      </c>
      <c r="B971" s="2">
        <v>29962.880000000001</v>
      </c>
      <c r="C971" s="2">
        <v>10.7805</v>
      </c>
      <c r="D971">
        <f>LN(Table1[[#This Row],[IPC_real]]/B972)</f>
        <v>1.4593562562952096E-2</v>
      </c>
      <c r="E971">
        <f>LN(Table1[[#This Row],[MXNUSD_real]]/C972)</f>
        <v>1.3914979497856451E-4</v>
      </c>
      <c r="N971" s="4">
        <v>0.88656454980786847</v>
      </c>
    </row>
    <row r="972" spans="1:14" x14ac:dyDescent="0.25">
      <c r="A972" s="1">
        <v>39500</v>
      </c>
      <c r="B972" s="2">
        <v>29528.79</v>
      </c>
      <c r="C972" s="2">
        <v>10.779</v>
      </c>
      <c r="D972">
        <f>LN(Table1[[#This Row],[IPC_real]]/B973)</f>
        <v>5.687557773195768E-3</v>
      </c>
      <c r="E972">
        <f>LN(Table1[[#This Row],[MXNUSD_real]]/C973)</f>
        <v>-1.2053221059633661E-3</v>
      </c>
      <c r="N972" s="4">
        <v>0.88769056325741846</v>
      </c>
    </row>
    <row r="973" spans="1:14" x14ac:dyDescent="0.25">
      <c r="A973" s="1">
        <v>39499</v>
      </c>
      <c r="B973" s="2">
        <v>29361.32</v>
      </c>
      <c r="C973" s="2">
        <v>10.792</v>
      </c>
      <c r="D973">
        <f>LN(Table1[[#This Row],[IPC_real]]/B974)</f>
        <v>4.6728163658508555E-3</v>
      </c>
      <c r="E973">
        <f>LN(Table1[[#This Row],[MXNUSD_real]]/C974)</f>
        <v>4.1706249590846718E-4</v>
      </c>
      <c r="N973" s="4">
        <v>0.88560991900825847</v>
      </c>
    </row>
    <row r="974" spans="1:14" x14ac:dyDescent="0.25">
      <c r="A974" s="1">
        <v>39498</v>
      </c>
      <c r="B974" s="2">
        <v>29224.44</v>
      </c>
      <c r="C974" s="2">
        <v>10.7875</v>
      </c>
      <c r="D974">
        <f>LN(Table1[[#This Row],[IPC_real]]/B975)</f>
        <v>1.1164788442334107E-2</v>
      </c>
      <c r="E974">
        <f>LN(Table1[[#This Row],[MXNUSD_real]]/C975)</f>
        <v>2.5525016759080188E-3</v>
      </c>
      <c r="N974" s="4">
        <v>0.88970700621437593</v>
      </c>
    </row>
    <row r="975" spans="1:14" x14ac:dyDescent="0.25">
      <c r="A975" s="1">
        <v>39497</v>
      </c>
      <c r="B975" s="2">
        <v>28899.97</v>
      </c>
      <c r="C975" s="2">
        <v>10.76</v>
      </c>
      <c r="D975">
        <f>LN(Table1[[#This Row],[IPC_real]]/B976)</f>
        <v>-9.3759867241814711E-3</v>
      </c>
      <c r="E975">
        <f>LN(Table1[[#This Row],[MXNUSD_real]]/C976)</f>
        <v>2.4192809790012045E-3</v>
      </c>
      <c r="N975" s="4">
        <v>0.88709053610675648</v>
      </c>
    </row>
    <row r="976" spans="1:14" x14ac:dyDescent="0.25">
      <c r="A976" s="1">
        <v>39496</v>
      </c>
      <c r="B976" s="2">
        <v>29172.21</v>
      </c>
      <c r="C976" s="2">
        <v>10.734</v>
      </c>
      <c r="D976">
        <f>LN(Table1[[#This Row],[IPC_real]]/B977)</f>
        <v>1.475931457152673E-2</v>
      </c>
      <c r="E976">
        <f>LN(Table1[[#This Row],[MXNUSD_real]]/C977)</f>
        <v>-2.0939492539651908E-3</v>
      </c>
      <c r="N976" s="4">
        <v>0.88896546059936321</v>
      </c>
    </row>
    <row r="977" spans="1:14" x14ac:dyDescent="0.25">
      <c r="A977" s="1">
        <v>39493</v>
      </c>
      <c r="B977" s="2">
        <v>28744.81</v>
      </c>
      <c r="C977" s="2">
        <v>10.756500000000001</v>
      </c>
      <c r="D977">
        <f>LN(Table1[[#This Row],[IPC_real]]/B978)</f>
        <v>-1.3617508414906516E-2</v>
      </c>
      <c r="E977">
        <f>LN(Table1[[#This Row],[MXNUSD_real]]/C978)</f>
        <v>4.1843922780837779E-4</v>
      </c>
      <c r="N977" s="4">
        <v>0.88728405152934209</v>
      </c>
    </row>
    <row r="978" spans="1:14" x14ac:dyDescent="0.25">
      <c r="A978" s="1">
        <v>39492</v>
      </c>
      <c r="B978" s="2">
        <v>29138.92</v>
      </c>
      <c r="C978" s="2">
        <v>10.752000000000001</v>
      </c>
      <c r="D978">
        <f>LN(Table1[[#This Row],[IPC_real]]/B979)</f>
        <v>-5.7434685124355027E-3</v>
      </c>
      <c r="E978">
        <f>LN(Table1[[#This Row],[MXNUSD_real]]/C979)</f>
        <v>9.3049229752615518E-4</v>
      </c>
      <c r="N978" s="4">
        <v>0.88778373049799764</v>
      </c>
    </row>
    <row r="979" spans="1:14" x14ac:dyDescent="0.25">
      <c r="A979" s="1">
        <v>39491</v>
      </c>
      <c r="B979" s="2">
        <v>29306.76</v>
      </c>
      <c r="C979" s="2">
        <v>10.742000000000001</v>
      </c>
      <c r="D979">
        <f>LN(Table1[[#This Row],[IPC_real]]/B980)</f>
        <v>1.5016597982979253E-2</v>
      </c>
      <c r="E979">
        <f>LN(Table1[[#This Row],[MXNUSD_real]]/C980)</f>
        <v>-1.4883723677830646E-3</v>
      </c>
      <c r="N979" s="4">
        <v>0.88717939385889377</v>
      </c>
    </row>
    <row r="980" spans="1:14" x14ac:dyDescent="0.25">
      <c r="A980" s="1">
        <v>39490</v>
      </c>
      <c r="B980" s="2">
        <v>28869.96</v>
      </c>
      <c r="C980" s="2">
        <v>10.757999999999999</v>
      </c>
      <c r="D980">
        <f>LN(Table1[[#This Row],[IPC_real]]/B981)</f>
        <v>2.7891340778851588E-3</v>
      </c>
      <c r="E980">
        <f>LN(Table1[[#This Row],[MXNUSD_real]]/C981)</f>
        <v>-3.2528637104598548E-4</v>
      </c>
      <c r="N980" s="4">
        <v>0.88635941046378353</v>
      </c>
    </row>
    <row r="981" spans="1:14" x14ac:dyDescent="0.25">
      <c r="A981" s="1">
        <v>39489</v>
      </c>
      <c r="B981" s="2">
        <v>28789.55</v>
      </c>
      <c r="C981" s="2">
        <v>10.7615</v>
      </c>
      <c r="D981">
        <f>LN(Table1[[#This Row],[IPC_real]]/B982)</f>
        <v>2.1213327818760206E-2</v>
      </c>
      <c r="E981">
        <f>LN(Table1[[#This Row],[MXNUSD_real]]/C982)</f>
        <v>1.3939548845843334E-4</v>
      </c>
      <c r="N981" s="4">
        <v>0.88641138864408442</v>
      </c>
    </row>
    <row r="982" spans="1:14" x14ac:dyDescent="0.25">
      <c r="A982" s="1">
        <v>39486</v>
      </c>
      <c r="B982" s="2">
        <v>28185.26</v>
      </c>
      <c r="C982" s="2">
        <v>10.76</v>
      </c>
      <c r="D982">
        <f>LN(Table1[[#This Row],[IPC_real]]/B983)</f>
        <v>3.4453146891083842E-3</v>
      </c>
      <c r="E982">
        <f>LN(Table1[[#This Row],[MXNUSD_real]]/C983)</f>
        <v>-1.8570107472126599E-3</v>
      </c>
      <c r="N982" s="4">
        <v>0.88810799989416989</v>
      </c>
    </row>
    <row r="983" spans="1:14" x14ac:dyDescent="0.25">
      <c r="A983" s="1">
        <v>39485</v>
      </c>
      <c r="B983" s="2">
        <v>28088.32</v>
      </c>
      <c r="C983" s="2">
        <v>10.78</v>
      </c>
      <c r="D983">
        <f>LN(Table1[[#This Row],[IPC_real]]/B984)</f>
        <v>5.6778726274473367E-3</v>
      </c>
      <c r="E983">
        <f>LN(Table1[[#This Row],[MXNUSD_real]]/C984)</f>
        <v>-3.888533739692369E-3</v>
      </c>
      <c r="N983" s="4">
        <v>0.8871788742295067</v>
      </c>
    </row>
    <row r="984" spans="1:14" x14ac:dyDescent="0.25">
      <c r="A984" s="1">
        <v>39484</v>
      </c>
      <c r="B984" s="2">
        <v>27929.29</v>
      </c>
      <c r="C984" s="2">
        <v>10.821999999999999</v>
      </c>
      <c r="D984">
        <f>LN(Table1[[#This Row],[IPC_real]]/B985)</f>
        <v>-5.629808790117592E-3</v>
      </c>
      <c r="E984">
        <f>LN(Table1[[#This Row],[MXNUSD_real]]/C985)</f>
        <v>-1.2928250023053047E-3</v>
      </c>
      <c r="N984" s="4">
        <v>0.88698480274253466</v>
      </c>
    </row>
    <row r="985" spans="1:14" x14ac:dyDescent="0.25">
      <c r="A985" s="1">
        <v>39483</v>
      </c>
      <c r="B985" s="2">
        <v>28086.97</v>
      </c>
      <c r="C985" s="2">
        <v>10.836</v>
      </c>
      <c r="D985">
        <f>LN(Table1[[#This Row],[IPC_real]]/B986)</f>
        <v>-4.6706415987740418E-2</v>
      </c>
      <c r="E985">
        <f>LN(Table1[[#This Row],[MXNUSD_real]]/C986)</f>
        <v>1.8936338014293706E-3</v>
      </c>
      <c r="N985" s="4">
        <v>0.88788753408543741</v>
      </c>
    </row>
    <row r="986" spans="1:14" x14ac:dyDescent="0.25">
      <c r="A986" s="1">
        <v>39479</v>
      </c>
      <c r="B986" s="2">
        <v>29429.93</v>
      </c>
      <c r="C986" s="2">
        <v>10.8155</v>
      </c>
      <c r="D986">
        <f>LN(Table1[[#This Row],[IPC_real]]/B987)</f>
        <v>2.1857654295942396E-2</v>
      </c>
      <c r="E986">
        <f>LN(Table1[[#This Row],[MXNUSD_real]]/C987)</f>
        <v>-1.3397705914800224E-3</v>
      </c>
      <c r="N986" s="4">
        <v>0.88745790105359634</v>
      </c>
    </row>
    <row r="987" spans="1:14" x14ac:dyDescent="0.25">
      <c r="A987" s="1">
        <v>39478</v>
      </c>
      <c r="B987" s="2">
        <v>28793.64</v>
      </c>
      <c r="C987" s="2">
        <v>10.83</v>
      </c>
      <c r="D987">
        <f>LN(Table1[[#This Row],[IPC_real]]/B988)</f>
        <v>1.7405805370420767E-2</v>
      </c>
      <c r="E987">
        <f>LN(Table1[[#This Row],[MXNUSD_real]]/C988)</f>
        <v>1.0162133074629058E-3</v>
      </c>
      <c r="N987" s="4">
        <v>0.88728395921295</v>
      </c>
    </row>
    <row r="988" spans="1:14" x14ac:dyDescent="0.25">
      <c r="A988" s="1">
        <v>39477</v>
      </c>
      <c r="B988" s="2">
        <v>28296.799999999999</v>
      </c>
      <c r="C988" s="2">
        <v>10.819000000000001</v>
      </c>
      <c r="D988">
        <f>LN(Table1[[#This Row],[IPC_real]]/B989)</f>
        <v>1.1615830304102792E-3</v>
      </c>
      <c r="E988">
        <f>LN(Table1[[#This Row],[MXNUSD_real]]/C989)</f>
        <v>-2.5385995955427639E-3</v>
      </c>
      <c r="N988" s="4">
        <v>0.88802200255836417</v>
      </c>
    </row>
    <row r="989" spans="1:14" x14ac:dyDescent="0.25">
      <c r="A989" s="1">
        <v>39476</v>
      </c>
      <c r="B989" s="2">
        <v>28263.95</v>
      </c>
      <c r="C989" s="2">
        <v>10.846500000000001</v>
      </c>
      <c r="D989">
        <f>LN(Table1[[#This Row],[IPC_real]]/B990)</f>
        <v>1.8029550793313653E-2</v>
      </c>
      <c r="E989">
        <f>LN(Table1[[#This Row],[MXNUSD_real]]/C990)</f>
        <v>-1.8882267797354249E-3</v>
      </c>
      <c r="N989" s="4">
        <v>0.88874846406765595</v>
      </c>
    </row>
    <row r="990" spans="1:14" x14ac:dyDescent="0.25">
      <c r="A990" s="1">
        <v>39475</v>
      </c>
      <c r="B990" s="2">
        <v>27758.93</v>
      </c>
      <c r="C990" s="2">
        <v>10.867000000000001</v>
      </c>
      <c r="D990">
        <f>LN(Table1[[#This Row],[IPC_real]]/B991)</f>
        <v>1.3747692211876449E-2</v>
      </c>
      <c r="E990">
        <f>LN(Table1[[#This Row],[MXNUSD_real]]/C991)</f>
        <v>-2.4356070035367926E-3</v>
      </c>
      <c r="N990" s="4">
        <v>0.88781587217849423</v>
      </c>
    </row>
    <row r="991" spans="1:14" x14ac:dyDescent="0.25">
      <c r="A991" s="1">
        <v>39472</v>
      </c>
      <c r="B991" s="2">
        <v>27379.919999999998</v>
      </c>
      <c r="C991" s="2">
        <v>10.8935</v>
      </c>
      <c r="D991">
        <f>LN(Table1[[#This Row],[IPC_real]]/B992)</f>
        <v>-1.9000644877592916E-2</v>
      </c>
      <c r="E991">
        <f>LN(Table1[[#This Row],[MXNUSD_real]]/C992)</f>
        <v>-3.6712404615920193E-4</v>
      </c>
      <c r="N991" s="4">
        <v>0.88661540567136787</v>
      </c>
    </row>
    <row r="992" spans="1:14" x14ac:dyDescent="0.25">
      <c r="A992" s="1">
        <v>39471</v>
      </c>
      <c r="B992" s="2">
        <v>27905.13</v>
      </c>
      <c r="C992" s="2">
        <v>10.897500000000001</v>
      </c>
      <c r="D992">
        <f>LN(Table1[[#This Row],[IPC_real]]/B993)</f>
        <v>1.0258447119229627E-2</v>
      </c>
      <c r="E992">
        <f>LN(Table1[[#This Row],[MXNUSD_real]]/C993)</f>
        <v>-3.8923918634244095E-3</v>
      </c>
      <c r="N992" s="4">
        <v>0.88783309726561876</v>
      </c>
    </row>
    <row r="993" spans="1:14" x14ac:dyDescent="0.25">
      <c r="A993" s="1">
        <v>39470</v>
      </c>
      <c r="B993" s="2">
        <v>27620.33</v>
      </c>
      <c r="C993" s="2">
        <v>10.94</v>
      </c>
      <c r="D993">
        <f>LN(Table1[[#This Row],[IPC_real]]/B994)</f>
        <v>2.669573406812966E-2</v>
      </c>
      <c r="E993">
        <f>LN(Table1[[#This Row],[MXNUSD_real]]/C994)</f>
        <v>1.4635933823765716E-3</v>
      </c>
      <c r="N993" s="4">
        <v>0.88695215701673813</v>
      </c>
    </row>
    <row r="994" spans="1:14" x14ac:dyDescent="0.25">
      <c r="A994" s="1">
        <v>39469</v>
      </c>
      <c r="B994" s="2">
        <v>26892.74</v>
      </c>
      <c r="C994" s="2">
        <v>10.923999999999999</v>
      </c>
      <c r="D994">
        <f>LN(Table1[[#This Row],[IPC_real]]/B995)</f>
        <v>6.1649773081600245E-2</v>
      </c>
      <c r="E994">
        <f>LN(Table1[[#This Row],[MXNUSD_real]]/C995)</f>
        <v>-8.0687876508392774E-3</v>
      </c>
      <c r="N994" s="4">
        <v>0.88826847891009886</v>
      </c>
    </row>
    <row r="995" spans="1:14" x14ac:dyDescent="0.25">
      <c r="A995" s="1">
        <v>39468</v>
      </c>
      <c r="B995" s="2">
        <v>25284.880000000001</v>
      </c>
      <c r="C995" s="2">
        <v>11.012499999999999</v>
      </c>
      <c r="D995">
        <f>LN(Table1[[#This Row],[IPC_real]]/B996)</f>
        <v>-5.4974820206332799E-2</v>
      </c>
      <c r="E995">
        <f>LN(Table1[[#This Row],[MXNUSD_real]]/C996)</f>
        <v>8.7555851412636707E-3</v>
      </c>
      <c r="N995" s="4">
        <v>0.88803335174973119</v>
      </c>
    </row>
    <row r="996" spans="1:14" x14ac:dyDescent="0.25">
      <c r="A996" s="1">
        <v>39465</v>
      </c>
      <c r="B996" s="2">
        <v>26713.83</v>
      </c>
      <c r="C996" s="2">
        <v>10.916499999999999</v>
      </c>
      <c r="D996">
        <f>LN(Table1[[#This Row],[IPC_real]]/B997)</f>
        <v>5.6803194937730473E-4</v>
      </c>
      <c r="E996">
        <f>LN(Table1[[#This Row],[MXNUSD_real]]/C997)</f>
        <v>-3.0640501414756684E-3</v>
      </c>
      <c r="N996" s="4">
        <v>0.88823141304209474</v>
      </c>
    </row>
    <row r="997" spans="1:14" x14ac:dyDescent="0.25">
      <c r="A997" s="1">
        <v>39464</v>
      </c>
      <c r="B997" s="2">
        <v>26698.66</v>
      </c>
      <c r="C997" s="2">
        <v>10.95</v>
      </c>
      <c r="D997">
        <f>LN(Table1[[#This Row],[IPC_real]]/B998)</f>
        <v>-2.3868023798214608E-2</v>
      </c>
      <c r="E997">
        <f>LN(Table1[[#This Row],[MXNUSD_real]]/C998)</f>
        <v>1.8281540740626235E-3</v>
      </c>
      <c r="N997" s="4">
        <v>0.88747349750974724</v>
      </c>
    </row>
    <row r="998" spans="1:14" x14ac:dyDescent="0.25">
      <c r="A998" s="1">
        <v>39463</v>
      </c>
      <c r="B998" s="2">
        <v>27343.57</v>
      </c>
      <c r="C998" s="2">
        <v>10.93</v>
      </c>
      <c r="D998">
        <f>LN(Table1[[#This Row],[IPC_real]]/B999)</f>
        <v>-2.235968044902063E-2</v>
      </c>
      <c r="E998">
        <f>LN(Table1[[#This Row],[MXNUSD_real]]/C999)</f>
        <v>5.033288445046518E-4</v>
      </c>
      <c r="N998" s="4">
        <v>0.8887498203701828</v>
      </c>
    </row>
    <row r="999" spans="1:14" x14ac:dyDescent="0.25">
      <c r="A999" s="1">
        <v>39462</v>
      </c>
      <c r="B999" s="2">
        <v>27961.85</v>
      </c>
      <c r="C999" s="2">
        <v>10.9245</v>
      </c>
      <c r="D999">
        <f>LN(Table1[[#This Row],[IPC_real]]/B1000)</f>
        <v>-2.2826092286696045E-2</v>
      </c>
      <c r="E999">
        <f>LN(Table1[[#This Row],[MXNUSD_real]]/C1000)</f>
        <v>2.0617147018534526E-3</v>
      </c>
      <c r="N999" s="4">
        <v>0.88678104597344953</v>
      </c>
    </row>
    <row r="1000" spans="1:14" x14ac:dyDescent="0.25">
      <c r="A1000" s="1">
        <v>39461</v>
      </c>
      <c r="B1000" s="2">
        <v>28607.45</v>
      </c>
      <c r="C1000" s="2">
        <v>10.901999999999999</v>
      </c>
      <c r="D1000">
        <f>LN(Table1[[#This Row],[IPC_real]]/B1001)</f>
        <v>-4.0595702769476733E-3</v>
      </c>
      <c r="E1000">
        <f>LN(Table1[[#This Row],[MXNUSD_real]]/C1001)</f>
        <v>-3.4795383517460788E-3</v>
      </c>
      <c r="N1000" s="4">
        <v>0.89016688334227401</v>
      </c>
    </row>
    <row r="1001" spans="1:14" x14ac:dyDescent="0.25">
      <c r="A1001" s="1">
        <v>39458</v>
      </c>
      <c r="B1001" s="2">
        <v>28723.82</v>
      </c>
      <c r="C1001" s="2">
        <v>10.94</v>
      </c>
      <c r="D1001">
        <f>LN(Table1[[#This Row],[IPC_real]]/B1002)</f>
        <v>-1.1964834885580892E-2</v>
      </c>
      <c r="E1001">
        <f>LN(Table1[[#This Row],[MXNUSD_real]]/C1002)</f>
        <v>1.0974941654008357E-3</v>
      </c>
      <c r="N1001" s="4">
        <v>0.88381526433500635</v>
      </c>
    </row>
    <row r="1002" spans="1:14" x14ac:dyDescent="0.25">
      <c r="A1002" s="1">
        <v>39457</v>
      </c>
      <c r="B1002" s="2">
        <v>29069.56</v>
      </c>
      <c r="C1002" s="2">
        <v>10.928000000000001</v>
      </c>
      <c r="D1002">
        <f>LN(Table1[[#This Row],[IPC_real]]/B1003)</f>
        <v>2.3245744876143004E-2</v>
      </c>
      <c r="E1002">
        <f>LN(Table1[[#This Row],[MXNUSD_real]]/C1003)</f>
        <v>-3.4712741534223598E-3</v>
      </c>
      <c r="N1002" s="4">
        <v>0.88845659726799464</v>
      </c>
    </row>
    <row r="1003" spans="1:14" x14ac:dyDescent="0.25">
      <c r="A1003" s="1">
        <v>39456</v>
      </c>
      <c r="B1003" s="2">
        <v>28401.61</v>
      </c>
      <c r="C1003" s="2">
        <v>10.965999999999999</v>
      </c>
      <c r="D1003">
        <f>LN(Table1[[#This Row],[IPC_real]]/B1004)</f>
        <v>4.723193554618952E-3</v>
      </c>
      <c r="E1003">
        <f>LN(Table1[[#This Row],[MXNUSD_real]]/C1004)</f>
        <v>7.0464716179328007E-3</v>
      </c>
      <c r="N1003" s="4">
        <v>0.88664070036186649</v>
      </c>
    </row>
    <row r="1004" spans="1:14" x14ac:dyDescent="0.25">
      <c r="A1004" s="1">
        <v>39455</v>
      </c>
      <c r="B1004" s="2">
        <v>28267.78</v>
      </c>
      <c r="C1004" s="2">
        <v>10.888999999999999</v>
      </c>
      <c r="D1004">
        <f>LN(Table1[[#This Row],[IPC_real]]/B1005)</f>
        <v>4.0843483103436568E-3</v>
      </c>
      <c r="E1004">
        <f>LN(Table1[[#This Row],[MXNUSD_real]]/C1005)</f>
        <v>-1.9266944810555843E-3</v>
      </c>
      <c r="N1004" s="4">
        <v>0.88714681139281537</v>
      </c>
    </row>
    <row r="1005" spans="1:14" x14ac:dyDescent="0.25">
      <c r="A1005" s="1">
        <v>39454</v>
      </c>
      <c r="B1005" s="2">
        <v>28152.560000000001</v>
      </c>
      <c r="C1005" s="2">
        <v>10.91</v>
      </c>
      <c r="D1005">
        <f>LN(Table1[[#This Row],[IPC_real]]/B1006)</f>
        <v>-5.8565279643042686E-3</v>
      </c>
      <c r="E1005">
        <f>LN(Table1[[#This Row],[MXNUSD_real]]/C1006)</f>
        <v>-2.3802995766689251E-3</v>
      </c>
      <c r="N1005" s="4">
        <v>0.88655035510236146</v>
      </c>
    </row>
    <row r="1006" spans="1:14" x14ac:dyDescent="0.25">
      <c r="A1006" s="1">
        <v>39451</v>
      </c>
      <c r="B1006" s="2">
        <v>28317.919999999998</v>
      </c>
      <c r="C1006" s="2">
        <v>10.936</v>
      </c>
      <c r="D1006">
        <f>LN(Table1[[#This Row],[IPC_real]]/B1007)</f>
        <v>-1.898876020700652E-2</v>
      </c>
      <c r="E1006">
        <f>LN(Table1[[#This Row],[MXNUSD_real]]/C1007)</f>
        <v>5.4096313099350488E-3</v>
      </c>
      <c r="N1006" s="4">
        <v>0.88860418402364927</v>
      </c>
    </row>
    <row r="1007" spans="1:14" x14ac:dyDescent="0.25">
      <c r="A1007" s="1">
        <v>39450</v>
      </c>
      <c r="B1007" s="2">
        <v>28860.78</v>
      </c>
      <c r="C1007" s="2">
        <v>10.877000000000001</v>
      </c>
      <c r="D1007">
        <f>LN(Table1[[#This Row],[IPC_real]]/B1008)</f>
        <v>5.6171197329481582E-3</v>
      </c>
      <c r="E1007">
        <f>LN(Table1[[#This Row],[MXNUSD_real]]/C1008)</f>
        <v>-2.5709315418790714E-3</v>
      </c>
      <c r="N1007" s="4">
        <v>0.88692116063094528</v>
      </c>
    </row>
    <row r="1008" spans="1:14" x14ac:dyDescent="0.25">
      <c r="A1008" s="1">
        <v>39449</v>
      </c>
      <c r="B1008" s="2">
        <v>28699.119999999999</v>
      </c>
      <c r="C1008" s="2">
        <v>10.904999999999999</v>
      </c>
      <c r="D1008">
        <f>LN(Table1[[#This Row],[IPC_real]]/B1009)</f>
        <v>-2.8771498951135868E-2</v>
      </c>
      <c r="E1008">
        <f>LN(Table1[[#This Row],[MXNUSD_real]]/C1009)</f>
        <v>-1.3745706631667098E-3</v>
      </c>
      <c r="N1008" s="4">
        <v>0.88860125846805349</v>
      </c>
    </row>
    <row r="1009" spans="1:14" x14ac:dyDescent="0.25">
      <c r="A1009" s="1">
        <v>39447</v>
      </c>
      <c r="B1009" s="2">
        <v>29536.83</v>
      </c>
      <c r="C1009" s="2">
        <v>10.92</v>
      </c>
      <c r="D1009">
        <f>LN(Table1[[#This Row],[IPC_real]]/B1010)</f>
        <v>-5.515483868872623E-3</v>
      </c>
      <c r="E1009">
        <f>LN(Table1[[#This Row],[MXNUSD_real]]/C1010)</f>
        <v>1.6497116746699355E-3</v>
      </c>
      <c r="N1009" s="4">
        <v>0.88454075246602715</v>
      </c>
    </row>
    <row r="1010" spans="1:14" x14ac:dyDescent="0.25">
      <c r="A1010" s="1">
        <v>39444</v>
      </c>
      <c r="B1010" s="2">
        <v>29700.19</v>
      </c>
      <c r="C1010" s="2">
        <v>10.901999999999999</v>
      </c>
      <c r="D1010">
        <f>LN(Table1[[#This Row],[IPC_real]]/B1011)</f>
        <v>1.9571202582290936E-3</v>
      </c>
      <c r="E1010">
        <f>LN(Table1[[#This Row],[MXNUSD_real]]/C1011)</f>
        <v>2.4337057127574555E-3</v>
      </c>
      <c r="N1010" s="4">
        <v>0.88804732938014341</v>
      </c>
    </row>
    <row r="1011" spans="1:14" x14ac:dyDescent="0.25">
      <c r="A1011" s="1">
        <v>39443</v>
      </c>
      <c r="B1011" s="2">
        <v>29642.12</v>
      </c>
      <c r="C1011" s="2">
        <v>10.875500000000001</v>
      </c>
      <c r="D1011">
        <f>LN(Table1[[#This Row],[IPC_real]]/B1012)</f>
        <v>-1.2083055463979631E-2</v>
      </c>
      <c r="E1011">
        <f>LN(Table1[[#This Row],[MXNUSD_real]]/C1012)</f>
        <v>5.347359812428727E-3</v>
      </c>
      <c r="N1011" s="4">
        <v>0.88821148235665892</v>
      </c>
    </row>
    <row r="1012" spans="1:14" x14ac:dyDescent="0.25">
      <c r="A1012" s="1">
        <v>39442</v>
      </c>
      <c r="B1012" s="2">
        <v>30002.46</v>
      </c>
      <c r="C1012" s="2">
        <v>10.817500000000001</v>
      </c>
      <c r="D1012">
        <f>LN(Table1[[#This Row],[IPC_real]]/B1013)</f>
        <v>4.9682482792148281E-3</v>
      </c>
      <c r="E1012">
        <f>LN(Table1[[#This Row],[MXNUSD_real]]/C1013)</f>
        <v>1.3867381629441991E-4</v>
      </c>
      <c r="N1012" s="4">
        <v>0.88521795491731448</v>
      </c>
    </row>
    <row r="1013" spans="1:14" x14ac:dyDescent="0.25">
      <c r="A1013" s="1">
        <v>39440</v>
      </c>
      <c r="B1013" s="2">
        <v>29853.77</v>
      </c>
      <c r="C1013" s="2">
        <v>10.816000000000001</v>
      </c>
      <c r="D1013">
        <f>LN(Table1[[#This Row],[IPC_real]]/B1014)</f>
        <v>7.2403121568830444E-3</v>
      </c>
      <c r="E1013">
        <f>LN(Table1[[#This Row],[MXNUSD_real]]/C1014)</f>
        <v>-7.3937156787852183E-4</v>
      </c>
      <c r="N1013" s="4">
        <v>0.88828010174020622</v>
      </c>
    </row>
    <row r="1014" spans="1:14" x14ac:dyDescent="0.25">
      <c r="A1014" s="1">
        <v>39437</v>
      </c>
      <c r="B1014" s="2">
        <v>29638.400000000001</v>
      </c>
      <c r="C1014" s="2">
        <v>10.824</v>
      </c>
      <c r="D1014">
        <f>LN(Table1[[#This Row],[IPC_real]]/B1015)</f>
        <v>1.6669079723339204E-2</v>
      </c>
      <c r="E1014">
        <f>LN(Table1[[#This Row],[MXNUSD_real]]/C1015)</f>
        <v>-1.2003140723712761E-3</v>
      </c>
      <c r="N1014" s="4">
        <v>0.88784585739519517</v>
      </c>
    </row>
    <row r="1015" spans="1:14" x14ac:dyDescent="0.25">
      <c r="A1015" s="1">
        <v>39436</v>
      </c>
      <c r="B1015" s="2">
        <v>29148.45</v>
      </c>
      <c r="C1015" s="2">
        <v>10.837</v>
      </c>
      <c r="D1015">
        <f>LN(Table1[[#This Row],[IPC_real]]/B1016)</f>
        <v>2.5533067462358301E-3</v>
      </c>
      <c r="E1015">
        <f>LN(Table1[[#This Row],[MXNUSD_real]]/C1016)</f>
        <v>-5.5350554918679558E-4</v>
      </c>
      <c r="N1015" s="4">
        <v>0.88670949802111598</v>
      </c>
    </row>
    <row r="1016" spans="1:14" x14ac:dyDescent="0.25">
      <c r="A1016" s="1">
        <v>39435</v>
      </c>
      <c r="B1016" s="2">
        <v>29074.12</v>
      </c>
      <c r="C1016" s="2">
        <v>10.843</v>
      </c>
      <c r="D1016">
        <f>LN(Table1[[#This Row],[IPC_real]]/B1017)</f>
        <v>-6.2013842014780052E-3</v>
      </c>
      <c r="E1016">
        <f>LN(Table1[[#This Row],[MXNUSD_real]]/C1017)</f>
        <v>-5.9928548526326888E-4</v>
      </c>
      <c r="N1016" s="4">
        <v>0.88640576591848519</v>
      </c>
    </row>
    <row r="1017" spans="1:14" x14ac:dyDescent="0.25">
      <c r="A1017" s="1">
        <v>39434</v>
      </c>
      <c r="B1017" s="2">
        <v>29254.98</v>
      </c>
      <c r="C1017" s="2">
        <v>10.849500000000001</v>
      </c>
      <c r="D1017">
        <f>LN(Table1[[#This Row],[IPC_real]]/B1018)</f>
        <v>9.8511389865189262E-3</v>
      </c>
      <c r="E1017">
        <f>LN(Table1[[#This Row],[MXNUSD_real]]/C1018)</f>
        <v>-7.8313950795121242E-4</v>
      </c>
      <c r="N1017" s="4">
        <v>0.88524338111919354</v>
      </c>
    </row>
    <row r="1018" spans="1:14" x14ac:dyDescent="0.25">
      <c r="A1018" s="1">
        <v>39433</v>
      </c>
      <c r="B1018" s="2">
        <v>28968.2</v>
      </c>
      <c r="C1018" s="2">
        <v>10.858000000000001</v>
      </c>
      <c r="D1018">
        <f>LN(Table1[[#This Row],[IPC_real]]/B1019)</f>
        <v>-3.4828690600892373E-2</v>
      </c>
      <c r="E1018">
        <f>LN(Table1[[#This Row],[MXNUSD_real]]/C1019)</f>
        <v>3.598287777823016E-3</v>
      </c>
      <c r="N1018" s="4">
        <v>0.88728423037160409</v>
      </c>
    </row>
    <row r="1019" spans="1:14" x14ac:dyDescent="0.25">
      <c r="A1019" s="1">
        <v>39430</v>
      </c>
      <c r="B1019" s="2">
        <v>29994.9</v>
      </c>
      <c r="C1019" s="2">
        <v>10.819000000000001</v>
      </c>
      <c r="D1019">
        <f>LN(Table1[[#This Row],[IPC_real]]/B1020)</f>
        <v>-3.1003833902953364E-3</v>
      </c>
      <c r="E1019">
        <f>LN(Table1[[#This Row],[MXNUSD_real]]/C1020)</f>
        <v>-9.2387294080602993E-4</v>
      </c>
      <c r="N1019" s="4">
        <v>0.88761179828386794</v>
      </c>
    </row>
    <row r="1020" spans="1:14" x14ac:dyDescent="0.25">
      <c r="A1020" s="1">
        <v>39429</v>
      </c>
      <c r="B1020" s="2">
        <v>30088.04</v>
      </c>
      <c r="C1020" s="2">
        <v>10.829000000000001</v>
      </c>
      <c r="D1020">
        <f>LN(Table1[[#This Row],[IPC_real]]/B1021)</f>
        <v>-7.9225247791094439E-3</v>
      </c>
      <c r="E1020">
        <f>LN(Table1[[#This Row],[MXNUSD_real]]/C1021)</f>
        <v>-2.7699552367686542E-4</v>
      </c>
      <c r="N1020" s="4">
        <v>0.88778188954315218</v>
      </c>
    </row>
    <row r="1021" spans="1:14" x14ac:dyDescent="0.25">
      <c r="A1021" s="1">
        <v>39427</v>
      </c>
      <c r="B1021" s="2">
        <v>30327.360000000001</v>
      </c>
      <c r="C1021" s="2">
        <v>10.832000000000001</v>
      </c>
      <c r="D1021">
        <f>LN(Table1[[#This Row],[IPC_real]]/B1022)</f>
        <v>-2.7814781923071855E-2</v>
      </c>
      <c r="E1021">
        <f>LN(Table1[[#This Row],[MXNUSD_real]]/C1022)</f>
        <v>1.4781968693109652E-3</v>
      </c>
      <c r="N1021" s="4">
        <v>0.88754284866296429</v>
      </c>
    </row>
    <row r="1022" spans="1:14" x14ac:dyDescent="0.25">
      <c r="A1022" s="1">
        <v>39426</v>
      </c>
      <c r="B1022" s="2">
        <v>31182.75</v>
      </c>
      <c r="C1022" s="2">
        <v>10.816000000000001</v>
      </c>
      <c r="D1022">
        <f>LN(Table1[[#This Row],[IPC_real]]/B1023)</f>
        <v>-2.7416663571113373E-3</v>
      </c>
      <c r="E1022">
        <f>LN(Table1[[#This Row],[MXNUSD_real]]/C1023)</f>
        <v>-2.7732840482806563E-4</v>
      </c>
      <c r="N1022" s="4">
        <v>0.88755985080426436</v>
      </c>
    </row>
    <row r="1023" spans="1:14" x14ac:dyDescent="0.25">
      <c r="A1023" s="1">
        <v>39423</v>
      </c>
      <c r="B1023" s="2">
        <v>31268.36</v>
      </c>
      <c r="C1023" s="2">
        <v>10.819000000000001</v>
      </c>
      <c r="D1023">
        <f>LN(Table1[[#This Row],[IPC_real]]/B1024)</f>
        <v>3.5377475792664257E-4</v>
      </c>
      <c r="E1023">
        <f>LN(Table1[[#This Row],[MXNUSD_real]]/C1024)</f>
        <v>-3.6965160757297883E-4</v>
      </c>
      <c r="N1023" s="4">
        <v>0.88762800418442267</v>
      </c>
    </row>
    <row r="1024" spans="1:14" x14ac:dyDescent="0.25">
      <c r="A1024" s="1">
        <v>39422</v>
      </c>
      <c r="B1024" s="2">
        <v>31257.3</v>
      </c>
      <c r="C1024" s="2">
        <v>10.823</v>
      </c>
      <c r="D1024">
        <f>LN(Table1[[#This Row],[IPC_real]]/B1025)</f>
        <v>1.598448969118443E-2</v>
      </c>
      <c r="E1024">
        <f>LN(Table1[[#This Row],[MXNUSD_real]]/C1025)</f>
        <v>-4.057174767705265E-3</v>
      </c>
      <c r="N1024" s="4">
        <v>0.88594754502238848</v>
      </c>
    </row>
    <row r="1025" spans="1:14" x14ac:dyDescent="0.25">
      <c r="A1025" s="1">
        <v>39421</v>
      </c>
      <c r="B1025" s="2">
        <v>30761.64</v>
      </c>
      <c r="C1025" s="2">
        <v>10.867000000000001</v>
      </c>
      <c r="D1025">
        <f>LN(Table1[[#This Row],[IPC_real]]/B1026)</f>
        <v>2.5111411695583223E-2</v>
      </c>
      <c r="E1025">
        <f>LN(Table1[[#This Row],[MXNUSD_real]]/C1026)</f>
        <v>-1.9305912684503147E-3</v>
      </c>
      <c r="N1025" s="4">
        <v>0.88768003482355573</v>
      </c>
    </row>
    <row r="1026" spans="1:14" x14ac:dyDescent="0.25">
      <c r="A1026" s="1">
        <v>39420</v>
      </c>
      <c r="B1026" s="2">
        <v>29998.79</v>
      </c>
      <c r="C1026" s="2">
        <v>10.888</v>
      </c>
      <c r="D1026">
        <f>LN(Table1[[#This Row],[IPC_real]]/B1027)</f>
        <v>1.0092164388326025E-3</v>
      </c>
      <c r="E1026">
        <f>LN(Table1[[#This Row],[MXNUSD_real]]/C1027)</f>
        <v>-2.110189323796724E-3</v>
      </c>
      <c r="N1026" s="4">
        <v>0.88743988573613086</v>
      </c>
    </row>
    <row r="1027" spans="1:14" x14ac:dyDescent="0.25">
      <c r="A1027" s="1">
        <v>39419</v>
      </c>
      <c r="B1027" s="2">
        <v>29968.53</v>
      </c>
      <c r="C1027" s="2">
        <v>10.911</v>
      </c>
      <c r="D1027">
        <f>LN(Table1[[#This Row],[IPC_real]]/B1028)</f>
        <v>6.6291889525360173E-3</v>
      </c>
      <c r="E1027">
        <f>LN(Table1[[#This Row],[MXNUSD_real]]/C1028)</f>
        <v>4.5835816909175635E-4</v>
      </c>
      <c r="N1027" s="4">
        <v>0.88677543978536244</v>
      </c>
    </row>
    <row r="1028" spans="1:14" x14ac:dyDescent="0.25">
      <c r="A1028" s="1">
        <v>39416</v>
      </c>
      <c r="B1028" s="2">
        <v>29770.52</v>
      </c>
      <c r="C1028" s="2">
        <v>10.906000000000001</v>
      </c>
      <c r="D1028">
        <f>LN(Table1[[#This Row],[IPC_real]]/B1029)</f>
        <v>1.2526688871544298E-2</v>
      </c>
      <c r="E1028">
        <f>LN(Table1[[#This Row],[MXNUSD_real]]/C1029)</f>
        <v>-1.1912945280594027E-3</v>
      </c>
      <c r="N1028" s="4">
        <v>0.88744000996880323</v>
      </c>
    </row>
    <row r="1029" spans="1:14" x14ac:dyDescent="0.25">
      <c r="A1029" s="1">
        <v>39415</v>
      </c>
      <c r="B1029" s="2">
        <v>29399.919999999998</v>
      </c>
      <c r="C1029" s="2">
        <v>10.919</v>
      </c>
      <c r="D1029">
        <f>LN(Table1[[#This Row],[IPC_real]]/B1030)</f>
        <v>4.2105641102409119E-3</v>
      </c>
      <c r="E1029">
        <f>LN(Table1[[#This Row],[MXNUSD_real]]/C1030)</f>
        <v>-4.5781257952932664E-4</v>
      </c>
      <c r="N1029" s="4">
        <v>0.8874744394062194</v>
      </c>
    </row>
    <row r="1030" spans="1:14" x14ac:dyDescent="0.25">
      <c r="A1030" s="1">
        <v>39414</v>
      </c>
      <c r="B1030" s="2">
        <v>29276.39</v>
      </c>
      <c r="C1030" s="2">
        <v>10.923999999999999</v>
      </c>
      <c r="D1030">
        <f>LN(Table1[[#This Row],[IPC_real]]/B1031)</f>
        <v>4.0134973139550348E-2</v>
      </c>
      <c r="E1030">
        <f>LN(Table1[[#This Row],[MXNUSD_real]]/C1031)</f>
        <v>-4.42993896879346E-3</v>
      </c>
      <c r="N1030" s="4">
        <v>0.88880766674830758</v>
      </c>
    </row>
    <row r="1031" spans="1:14" x14ac:dyDescent="0.25">
      <c r="A1031" s="1">
        <v>39413</v>
      </c>
      <c r="B1031" s="2">
        <v>28124.65</v>
      </c>
      <c r="C1031" s="2">
        <v>10.9725</v>
      </c>
      <c r="D1031">
        <f>LN(Table1[[#This Row],[IPC_real]]/B1032)</f>
        <v>8.6288732406624852E-3</v>
      </c>
      <c r="E1031">
        <f>LN(Table1[[#This Row],[MXNUSD_real]]/C1032)</f>
        <v>-2.0484814264724364E-3</v>
      </c>
      <c r="N1031" s="4">
        <v>0.88804874482208662</v>
      </c>
    </row>
    <row r="1032" spans="1:14" x14ac:dyDescent="0.25">
      <c r="A1032" s="1">
        <v>39412</v>
      </c>
      <c r="B1032" s="2">
        <v>27883.01</v>
      </c>
      <c r="C1032" s="2">
        <v>10.994999999999999</v>
      </c>
      <c r="D1032">
        <f>LN(Table1[[#This Row],[IPC_real]]/B1033)</f>
        <v>-2.9258253942103535E-2</v>
      </c>
      <c r="E1032">
        <f>LN(Table1[[#This Row],[MXNUSD_real]]/C1033)</f>
        <v>1.9117853699408629E-3</v>
      </c>
      <c r="N1032" s="4">
        <v>0.88811388193370466</v>
      </c>
    </row>
    <row r="1033" spans="1:14" x14ac:dyDescent="0.25">
      <c r="A1033" s="1">
        <v>39409</v>
      </c>
      <c r="B1033" s="2">
        <v>28710.87</v>
      </c>
      <c r="C1033" s="2">
        <v>10.974</v>
      </c>
      <c r="D1033">
        <f>LN(Table1[[#This Row],[IPC_real]]/B1034)</f>
        <v>6.6645910756126811E-3</v>
      </c>
      <c r="E1033">
        <f>LN(Table1[[#This Row],[MXNUSD_real]]/C1034)</f>
        <v>2.7341080142979923E-4</v>
      </c>
      <c r="N1033" s="4">
        <v>0.88716380231509728</v>
      </c>
    </row>
    <row r="1034" spans="1:14" x14ac:dyDescent="0.25">
      <c r="A1034" s="1">
        <v>39408</v>
      </c>
      <c r="B1034" s="2">
        <v>28520.16</v>
      </c>
      <c r="C1034" s="2">
        <v>10.971</v>
      </c>
      <c r="D1034">
        <f>LN(Table1[[#This Row],[IPC_real]]/B1035)</f>
        <v>2.5878331582511777E-3</v>
      </c>
      <c r="E1034">
        <f>LN(Table1[[#This Row],[MXNUSD_real]]/C1035)</f>
        <v>-1.0931949708550116E-3</v>
      </c>
      <c r="N1034" s="4">
        <v>0.88777857357392864</v>
      </c>
    </row>
    <row r="1035" spans="1:14" x14ac:dyDescent="0.25">
      <c r="A1035" s="1">
        <v>39407</v>
      </c>
      <c r="B1035" s="2">
        <v>28446.45</v>
      </c>
      <c r="C1035" s="2">
        <v>10.983000000000001</v>
      </c>
      <c r="D1035">
        <f>LN(Table1[[#This Row],[IPC_real]]/B1036)</f>
        <v>-2.1013010839546948E-2</v>
      </c>
      <c r="E1035">
        <f>LN(Table1[[#This Row],[MXNUSD_real]]/C1036)</f>
        <v>-6.3714560932114908E-4</v>
      </c>
      <c r="N1035" s="4">
        <v>0.88750726835396421</v>
      </c>
    </row>
    <row r="1036" spans="1:14" x14ac:dyDescent="0.25">
      <c r="A1036" s="1">
        <v>39406</v>
      </c>
      <c r="B1036" s="2">
        <v>29050.52</v>
      </c>
      <c r="C1036" s="2">
        <v>10.99</v>
      </c>
      <c r="D1036">
        <f>LN(Table1[[#This Row],[IPC_real]]/B1037)</f>
        <v>-1.9803963709554347E-2</v>
      </c>
      <c r="E1036">
        <f>LN(Table1[[#This Row],[MXNUSD_real]]/C1037)</f>
        <v>5.3372386807247927E-3</v>
      </c>
      <c r="N1036" s="4">
        <v>0.88893793246727026</v>
      </c>
    </row>
    <row r="1037" spans="1:14" x14ac:dyDescent="0.25">
      <c r="A1037" s="1">
        <v>39402</v>
      </c>
      <c r="B1037" s="2">
        <v>29631.57</v>
      </c>
      <c r="C1037" s="2">
        <v>10.9315</v>
      </c>
      <c r="D1037">
        <f>LN(Table1[[#This Row],[IPC_real]]/B1038)</f>
        <v>1.566870999898894E-2</v>
      </c>
      <c r="E1037">
        <f>LN(Table1[[#This Row],[MXNUSD_real]]/C1038)</f>
        <v>8.2364789135140929E-4</v>
      </c>
      <c r="N1037" s="4">
        <v>0.88809152335676544</v>
      </c>
    </row>
    <row r="1038" spans="1:14" x14ac:dyDescent="0.25">
      <c r="A1038" s="1">
        <v>39401</v>
      </c>
      <c r="B1038" s="2">
        <v>29170.9</v>
      </c>
      <c r="C1038" s="2">
        <v>10.922499999999999</v>
      </c>
      <c r="D1038">
        <f>LN(Table1[[#This Row],[IPC_real]]/B1039)</f>
        <v>-1.6482038373270745E-2</v>
      </c>
      <c r="E1038">
        <f>LN(Table1[[#This Row],[MXNUSD_real]]/C1039)</f>
        <v>3.4851229845999573E-3</v>
      </c>
      <c r="N1038" s="4">
        <v>0.88660838906928097</v>
      </c>
    </row>
    <row r="1039" spans="1:14" x14ac:dyDescent="0.25">
      <c r="A1039" s="1">
        <v>39400</v>
      </c>
      <c r="B1039" s="2">
        <v>29655.68</v>
      </c>
      <c r="C1039" s="2">
        <v>10.884499999999999</v>
      </c>
      <c r="D1039">
        <f>LN(Table1[[#This Row],[IPC_real]]/B1040)</f>
        <v>5.7794773900979373E-3</v>
      </c>
      <c r="E1039">
        <f>LN(Table1[[#This Row],[MXNUSD_real]]/C1040)</f>
        <v>7.352603612337139E-4</v>
      </c>
      <c r="N1039" s="4">
        <v>0.88723354971607316</v>
      </c>
    </row>
    <row r="1040" spans="1:14" x14ac:dyDescent="0.25">
      <c r="A1040" s="1">
        <v>39399</v>
      </c>
      <c r="B1040" s="2">
        <v>29484.78</v>
      </c>
      <c r="C1040" s="2">
        <v>10.8765</v>
      </c>
      <c r="D1040">
        <f>LN(Table1[[#This Row],[IPC_real]]/B1041)</f>
        <v>4.5052345101183722E-2</v>
      </c>
      <c r="E1040">
        <f>LN(Table1[[#This Row],[MXNUSD_real]]/C1041)</f>
        <v>-3.7167088005124358E-3</v>
      </c>
      <c r="N1040" s="4">
        <v>0.88774247628306824</v>
      </c>
    </row>
    <row r="1041" spans="1:14" x14ac:dyDescent="0.25">
      <c r="A1041" s="1">
        <v>39398</v>
      </c>
      <c r="B1041" s="2">
        <v>28185.9</v>
      </c>
      <c r="C1041" s="2">
        <v>10.917</v>
      </c>
      <c r="D1041">
        <f>LN(Table1[[#This Row],[IPC_real]]/B1042)</f>
        <v>-3.3936958823650262E-2</v>
      </c>
      <c r="E1041">
        <f>LN(Table1[[#This Row],[MXNUSD_real]]/C1042)</f>
        <v>4.3145061650144015E-3</v>
      </c>
      <c r="N1041" s="4">
        <v>0.88757390202292163</v>
      </c>
    </row>
    <row r="1042" spans="1:14" x14ac:dyDescent="0.25">
      <c r="A1042" s="1">
        <v>39395</v>
      </c>
      <c r="B1042" s="2">
        <v>29158.86</v>
      </c>
      <c r="C1042" s="2">
        <v>10.87</v>
      </c>
      <c r="D1042">
        <f>LN(Table1[[#This Row],[IPC_real]]/B1043)</f>
        <v>-4.4777894912658494E-3</v>
      </c>
      <c r="E1042">
        <f>LN(Table1[[#This Row],[MXNUSD_real]]/C1043)</f>
        <v>3.5481455559091091E-3</v>
      </c>
      <c r="N1042" s="4">
        <v>0.88524751137515489</v>
      </c>
    </row>
    <row r="1043" spans="1:14" x14ac:dyDescent="0.25">
      <c r="A1043" s="1">
        <v>39394</v>
      </c>
      <c r="B1043" s="2">
        <v>29289.72</v>
      </c>
      <c r="C1043" s="2">
        <v>10.8315</v>
      </c>
      <c r="D1043">
        <f>LN(Table1[[#This Row],[IPC_real]]/B1044)</f>
        <v>-9.9365659181795095E-3</v>
      </c>
      <c r="E1043">
        <f>LN(Table1[[#This Row],[MXNUSD_real]]/C1044)</f>
        <v>7.2737701688197192E-3</v>
      </c>
      <c r="N1043" s="4">
        <v>0.88702542997571621</v>
      </c>
    </row>
    <row r="1044" spans="1:14" x14ac:dyDescent="0.25">
      <c r="A1044" s="1">
        <v>39393</v>
      </c>
      <c r="B1044" s="2">
        <v>29582.21</v>
      </c>
      <c r="C1044" s="2">
        <v>10.753</v>
      </c>
      <c r="D1044">
        <f>LN(Table1[[#This Row],[IPC_real]]/B1045)</f>
        <v>-2.8272227791875455E-2</v>
      </c>
      <c r="E1044">
        <f>LN(Table1[[#This Row],[MXNUSD_real]]/C1045)</f>
        <v>4.6139946232490701E-3</v>
      </c>
      <c r="N1044" s="4">
        <v>0.88599244228080376</v>
      </c>
    </row>
    <row r="1045" spans="1:14" x14ac:dyDescent="0.25">
      <c r="A1045" s="1">
        <v>39392</v>
      </c>
      <c r="B1045" s="2">
        <v>30430.5</v>
      </c>
      <c r="C1045" s="2">
        <v>10.7035</v>
      </c>
      <c r="D1045">
        <f>LN(Table1[[#This Row],[IPC_real]]/B1046)</f>
        <v>9.0054462328174375E-3</v>
      </c>
      <c r="E1045">
        <f>LN(Table1[[#This Row],[MXNUSD_real]]/C1046)</f>
        <v>-3.1249296668583912E-3</v>
      </c>
      <c r="N1045" s="4">
        <v>0.88705898618944412</v>
      </c>
    </row>
    <row r="1046" spans="1:14" x14ac:dyDescent="0.25">
      <c r="A1046" s="1">
        <v>39391</v>
      </c>
      <c r="B1046" s="2">
        <v>30157.69</v>
      </c>
      <c r="C1046" s="2">
        <v>10.737</v>
      </c>
      <c r="D1046">
        <f>LN(Table1[[#This Row],[IPC_real]]/B1047)</f>
        <v>-2.1279265822965649E-2</v>
      </c>
      <c r="E1046">
        <f>LN(Table1[[#This Row],[MXNUSD_real]]/C1047)</f>
        <v>5.2292583444402095E-3</v>
      </c>
      <c r="N1046" s="4">
        <v>0.88868797061744498</v>
      </c>
    </row>
    <row r="1047" spans="1:14" x14ac:dyDescent="0.25">
      <c r="A1047" s="1">
        <v>39387</v>
      </c>
      <c r="B1047" s="2">
        <v>30806.3</v>
      </c>
      <c r="C1047" s="2">
        <v>10.680999999999999</v>
      </c>
      <c r="D1047">
        <f>LN(Table1[[#This Row],[IPC_real]]/B1048)</f>
        <v>-2.0955406313063168E-2</v>
      </c>
      <c r="E1047">
        <f>LN(Table1[[#This Row],[MXNUSD_real]]/C1048)</f>
        <v>-3.2763099682276434E-4</v>
      </c>
      <c r="N1047" s="4">
        <v>0.8856615296735687</v>
      </c>
    </row>
    <row r="1048" spans="1:14" x14ac:dyDescent="0.25">
      <c r="A1048" s="1">
        <v>39386</v>
      </c>
      <c r="B1048" s="2">
        <v>31458.67</v>
      </c>
      <c r="C1048" s="2">
        <v>10.6845</v>
      </c>
      <c r="D1048">
        <f>LN(Table1[[#This Row],[IPC_real]]/B1049)</f>
        <v>-1.027644190927807E-2</v>
      </c>
      <c r="E1048">
        <f>LN(Table1[[#This Row],[MXNUSD_real]]/C1049)</f>
        <v>-4.1096587986176603E-3</v>
      </c>
      <c r="N1048" s="4">
        <v>0.88596744844386832</v>
      </c>
    </row>
    <row r="1049" spans="1:14" x14ac:dyDescent="0.25">
      <c r="A1049" s="1">
        <v>39385</v>
      </c>
      <c r="B1049" s="2">
        <v>31783.62</v>
      </c>
      <c r="C1049" s="2">
        <v>10.7285</v>
      </c>
      <c r="D1049">
        <f>LN(Table1[[#This Row],[IPC_real]]/B1050)</f>
        <v>-9.9286431283126635E-3</v>
      </c>
      <c r="E1049">
        <f>LN(Table1[[#This Row],[MXNUSD_real]]/C1050)</f>
        <v>1.725867443341321E-3</v>
      </c>
      <c r="N1049" s="4">
        <v>0.88444535644832267</v>
      </c>
    </row>
    <row r="1050" spans="1:14" x14ac:dyDescent="0.25">
      <c r="A1050" s="1">
        <v>39384</v>
      </c>
      <c r="B1050" s="2">
        <v>32100.76</v>
      </c>
      <c r="C1050" s="2">
        <v>10.71</v>
      </c>
      <c r="D1050">
        <f>LN(Table1[[#This Row],[IPC_real]]/B1051)</f>
        <v>-1.1208403988463211E-3</v>
      </c>
      <c r="E1050">
        <f>LN(Table1[[#This Row],[MXNUSD_real]]/C1051)</f>
        <v>-2.5178359923409941E-3</v>
      </c>
      <c r="N1050" s="4">
        <v>0.88554097575246793</v>
      </c>
    </row>
    <row r="1051" spans="1:14" x14ac:dyDescent="0.25">
      <c r="A1051" s="1">
        <v>39381</v>
      </c>
      <c r="B1051" s="2">
        <v>32136.76</v>
      </c>
      <c r="C1051" s="2">
        <v>10.737</v>
      </c>
      <c r="D1051">
        <f>LN(Table1[[#This Row],[IPC_real]]/B1052)</f>
        <v>7.8303681141343884E-3</v>
      </c>
      <c r="E1051">
        <f>LN(Table1[[#This Row],[MXNUSD_real]]/C1052)</f>
        <v>-8.5320001942439799E-3</v>
      </c>
      <c r="N1051" s="4">
        <v>0.88847828662180717</v>
      </c>
    </row>
    <row r="1052" spans="1:14" x14ac:dyDescent="0.25">
      <c r="A1052" s="1">
        <v>39380</v>
      </c>
      <c r="B1052" s="2">
        <v>31886.1</v>
      </c>
      <c r="C1052" s="2">
        <v>10.829000000000001</v>
      </c>
      <c r="D1052">
        <f>LN(Table1[[#This Row],[IPC_real]]/B1053)</f>
        <v>-5.0702173299561979E-3</v>
      </c>
      <c r="E1052">
        <f>LN(Table1[[#This Row],[MXNUSD_real]]/C1053)</f>
        <v>-1.1075220329121662E-3</v>
      </c>
      <c r="N1052" s="4">
        <v>0.88529153582350129</v>
      </c>
    </row>
    <row r="1053" spans="1:14" x14ac:dyDescent="0.25">
      <c r="A1053" s="1">
        <v>39379</v>
      </c>
      <c r="B1053" s="2">
        <v>32048.18</v>
      </c>
      <c r="C1053" s="2">
        <v>10.840999999999999</v>
      </c>
      <c r="D1053">
        <f>LN(Table1[[#This Row],[IPC_real]]/B1054)</f>
        <v>-5.6399250772193365E-3</v>
      </c>
      <c r="E1053">
        <f>LN(Table1[[#This Row],[MXNUSD_real]]/C1054)</f>
        <v>1.7541434586112608E-3</v>
      </c>
      <c r="N1053" s="4">
        <v>0.88745877537595641</v>
      </c>
    </row>
    <row r="1054" spans="1:14" x14ac:dyDescent="0.25">
      <c r="A1054" s="1">
        <v>39378</v>
      </c>
      <c r="B1054" s="2">
        <v>32229.439999999999</v>
      </c>
      <c r="C1054" s="2">
        <v>10.821999999999999</v>
      </c>
      <c r="D1054">
        <f>LN(Table1[[#This Row],[IPC_real]]/B1055)</f>
        <v>8.0986228692473908E-3</v>
      </c>
      <c r="E1054">
        <f>LN(Table1[[#This Row],[MXNUSD_real]]/C1055)</f>
        <v>-1.1543879563307349E-3</v>
      </c>
      <c r="N1054" s="4">
        <v>0.88882605736112985</v>
      </c>
    </row>
    <row r="1055" spans="1:14" x14ac:dyDescent="0.25">
      <c r="A1055" s="1">
        <v>39377</v>
      </c>
      <c r="B1055" s="2">
        <v>31969.48</v>
      </c>
      <c r="C1055" s="2">
        <v>10.8345</v>
      </c>
      <c r="D1055">
        <f>LN(Table1[[#This Row],[IPC_real]]/B1056)</f>
        <v>4.579829452239872E-3</v>
      </c>
      <c r="E1055">
        <f>LN(Table1[[#This Row],[MXNUSD_real]]/C1056)</f>
        <v>2.6339517550001117E-3</v>
      </c>
      <c r="N1055" s="4">
        <v>0.88668016053254139</v>
      </c>
    </row>
    <row r="1056" spans="1:14" x14ac:dyDescent="0.25">
      <c r="A1056" s="1">
        <v>39374</v>
      </c>
      <c r="B1056" s="2">
        <v>31823.4</v>
      </c>
      <c r="C1056" s="2">
        <v>10.805999999999999</v>
      </c>
      <c r="D1056">
        <f>LN(Table1[[#This Row],[IPC_real]]/B1057)</f>
        <v>-3.1327260766303801E-2</v>
      </c>
      <c r="E1056">
        <f>LN(Table1[[#This Row],[MXNUSD_real]]/C1057)</f>
        <v>1.2037595786647168E-3</v>
      </c>
      <c r="N1056" s="4">
        <v>0.88826101142584013</v>
      </c>
    </row>
    <row r="1057" spans="1:14" x14ac:dyDescent="0.25">
      <c r="A1057" s="1">
        <v>39373</v>
      </c>
      <c r="B1057" s="2">
        <v>32836.120000000003</v>
      </c>
      <c r="C1057" s="2">
        <v>10.792999999999999</v>
      </c>
      <c r="D1057">
        <f>LN(Table1[[#This Row],[IPC_real]]/B1058)</f>
        <v>3.4869953453618768E-3</v>
      </c>
      <c r="E1057">
        <f>LN(Table1[[#This Row],[MXNUSD_real]]/C1058)</f>
        <v>-3.6992551202212308E-3</v>
      </c>
      <c r="N1057" s="4">
        <v>0.8903178275856547</v>
      </c>
    </row>
    <row r="1058" spans="1:14" x14ac:dyDescent="0.25">
      <c r="A1058" s="1">
        <v>39372</v>
      </c>
      <c r="B1058" s="2">
        <v>32721.82</v>
      </c>
      <c r="C1058" s="2">
        <v>10.833</v>
      </c>
      <c r="D1058">
        <f>LN(Table1[[#This Row],[IPC_real]]/B1059)</f>
        <v>1.5118996021142984E-2</v>
      </c>
      <c r="E1058">
        <f>LN(Table1[[#This Row],[MXNUSD_real]]/C1059)</f>
        <v>4.6165921137574981E-4</v>
      </c>
      <c r="N1058" s="4">
        <v>0.88774775177570975</v>
      </c>
    </row>
    <row r="1059" spans="1:14" x14ac:dyDescent="0.25">
      <c r="A1059" s="1">
        <v>39371</v>
      </c>
      <c r="B1059" s="2">
        <v>32230.82</v>
      </c>
      <c r="C1059" s="2">
        <v>10.827999999999999</v>
      </c>
      <c r="D1059">
        <f>LN(Table1[[#This Row],[IPC_real]]/B1060)</f>
        <v>-3.2536934737029469E-3</v>
      </c>
      <c r="E1059">
        <f>LN(Table1[[#This Row],[MXNUSD_real]]/C1060)</f>
        <v>1.3853933384737419E-4</v>
      </c>
      <c r="N1059" s="4">
        <v>0.88666925865751256</v>
      </c>
    </row>
    <row r="1060" spans="1:14" x14ac:dyDescent="0.25">
      <c r="A1060" s="1">
        <v>39370</v>
      </c>
      <c r="B1060" s="2">
        <v>32335.86</v>
      </c>
      <c r="C1060" s="2">
        <v>10.826499999999999</v>
      </c>
      <c r="D1060">
        <f>LN(Table1[[#This Row],[IPC_real]]/B1061)</f>
        <v>-4.2466171707700763E-3</v>
      </c>
      <c r="E1060">
        <f>LN(Table1[[#This Row],[MXNUSD_real]]/C1061)</f>
        <v>1.4326981075729252E-3</v>
      </c>
      <c r="N1060" s="4">
        <v>0.887765000030037</v>
      </c>
    </row>
    <row r="1061" spans="1:14" x14ac:dyDescent="0.25">
      <c r="A1061" s="1">
        <v>39367</v>
      </c>
      <c r="B1061" s="2">
        <v>32473.47</v>
      </c>
      <c r="C1061" s="2">
        <v>10.811</v>
      </c>
      <c r="D1061">
        <f>LN(Table1[[#This Row],[IPC_real]]/B1062)</f>
        <v>1.5283035251947814E-2</v>
      </c>
      <c r="E1061">
        <f>LN(Table1[[#This Row],[MXNUSD_real]]/C1062)</f>
        <v>-1.5712374414203801E-3</v>
      </c>
      <c r="N1061" s="4">
        <v>0.88632757716193378</v>
      </c>
    </row>
    <row r="1062" spans="1:14" x14ac:dyDescent="0.25">
      <c r="A1062" s="1">
        <v>39366</v>
      </c>
      <c r="B1062" s="2">
        <v>31980.95</v>
      </c>
      <c r="C1062" s="2">
        <v>10.827999999999999</v>
      </c>
      <c r="D1062">
        <f>LN(Table1[[#This Row],[IPC_real]]/B1063)</f>
        <v>-4.6310857861989246E-3</v>
      </c>
      <c r="E1062">
        <f>LN(Table1[[#This Row],[MXNUSD_real]]/C1063)</f>
        <v>-1.1537486569537724E-3</v>
      </c>
      <c r="N1062" s="4">
        <v>0.88688057523656039</v>
      </c>
    </row>
    <row r="1063" spans="1:14" x14ac:dyDescent="0.25">
      <c r="A1063" s="1">
        <v>39365</v>
      </c>
      <c r="B1063" s="2">
        <v>32129.4</v>
      </c>
      <c r="C1063" s="2">
        <v>10.8405</v>
      </c>
      <c r="D1063">
        <f>LN(Table1[[#This Row],[IPC_real]]/B1064)</f>
        <v>1.0252065788989963E-2</v>
      </c>
      <c r="E1063">
        <f>LN(Table1[[#This Row],[MXNUSD_real]]/C1064)</f>
        <v>1.4308465204549217E-3</v>
      </c>
      <c r="N1063" s="4">
        <v>0.88868181601742935</v>
      </c>
    </row>
    <row r="1064" spans="1:14" x14ac:dyDescent="0.25">
      <c r="A1064" s="1">
        <v>39364</v>
      </c>
      <c r="B1064" s="2">
        <v>31801.69</v>
      </c>
      <c r="C1064" s="2">
        <v>10.824999999999999</v>
      </c>
      <c r="D1064">
        <f>LN(Table1[[#This Row],[IPC_real]]/B1065)</f>
        <v>-7.4873642444752634E-4</v>
      </c>
      <c r="E1064">
        <f>LN(Table1[[#This Row],[MXNUSD_real]]/C1065)</f>
        <v>-2.0302701695269708E-3</v>
      </c>
      <c r="N1064" s="4">
        <v>0.88716255552801659</v>
      </c>
    </row>
    <row r="1065" spans="1:14" x14ac:dyDescent="0.25">
      <c r="A1065" s="1">
        <v>39363</v>
      </c>
      <c r="B1065" s="2">
        <v>31825.51</v>
      </c>
      <c r="C1065" s="2">
        <v>10.847</v>
      </c>
      <c r="D1065">
        <f>LN(Table1[[#This Row],[IPC_real]]/B1066)</f>
        <v>8.9817849375371968E-3</v>
      </c>
      <c r="E1065">
        <f>LN(Table1[[#This Row],[MXNUSD_real]]/C1066)</f>
        <v>1.843997792427813E-4</v>
      </c>
      <c r="N1065" s="4">
        <v>0.88728428090123224</v>
      </c>
    </row>
    <row r="1066" spans="1:14" x14ac:dyDescent="0.25">
      <c r="A1066" s="1">
        <v>39360</v>
      </c>
      <c r="B1066" s="2">
        <v>31540.94</v>
      </c>
      <c r="C1066" s="2">
        <v>10.845000000000001</v>
      </c>
      <c r="D1066">
        <f>LN(Table1[[#This Row],[IPC_real]]/B1067)</f>
        <v>1.4775592762919716E-2</v>
      </c>
      <c r="E1066">
        <f>LN(Table1[[#This Row],[MXNUSD_real]]/C1067)</f>
        <v>-4.0030421320302869E-3</v>
      </c>
      <c r="N1066" s="4">
        <v>0.88679290215186179</v>
      </c>
    </row>
    <row r="1067" spans="1:14" x14ac:dyDescent="0.25">
      <c r="A1067" s="1">
        <v>39359</v>
      </c>
      <c r="B1067" s="2">
        <v>31078.33</v>
      </c>
      <c r="C1067" s="2">
        <v>10.888500000000001</v>
      </c>
      <c r="D1067">
        <f>LN(Table1[[#This Row],[IPC_real]]/B1068)</f>
        <v>-3.2288678500152278E-3</v>
      </c>
      <c r="E1067">
        <f>LN(Table1[[#This Row],[MXNUSD_real]]/C1068)</f>
        <v>-7.8033558388108666E-4</v>
      </c>
      <c r="N1067" s="4">
        <v>0.88791783203943608</v>
      </c>
    </row>
    <row r="1068" spans="1:14" x14ac:dyDescent="0.25">
      <c r="A1068" s="1">
        <v>39358</v>
      </c>
      <c r="B1068" s="2">
        <v>31178.84</v>
      </c>
      <c r="C1068" s="2">
        <v>10.897</v>
      </c>
      <c r="D1068">
        <f>LN(Table1[[#This Row],[IPC_real]]/B1069)</f>
        <v>-8.7162376639812553E-3</v>
      </c>
      <c r="E1068">
        <f>LN(Table1[[#This Row],[MXNUSD_real]]/C1069)</f>
        <v>-1.3764309168114706E-4</v>
      </c>
      <c r="N1068" s="4">
        <v>0.88776476483530653</v>
      </c>
    </row>
    <row r="1069" spans="1:14" x14ac:dyDescent="0.25">
      <c r="A1069" s="1">
        <v>39357</v>
      </c>
      <c r="B1069" s="2">
        <v>31451.79</v>
      </c>
      <c r="C1069" s="2">
        <v>10.8985</v>
      </c>
      <c r="D1069">
        <f>LN(Table1[[#This Row],[IPC_real]]/B1070)</f>
        <v>1.9135047168401455E-2</v>
      </c>
      <c r="E1069">
        <f>LN(Table1[[#This Row],[MXNUSD_real]]/C1070)</f>
        <v>-4.5876820744216411E-5</v>
      </c>
      <c r="N1069" s="4">
        <v>0.88679361251883537</v>
      </c>
    </row>
    <row r="1070" spans="1:14" x14ac:dyDescent="0.25">
      <c r="A1070" s="1">
        <v>39356</v>
      </c>
      <c r="B1070" s="2">
        <v>30855.68</v>
      </c>
      <c r="C1070" s="2">
        <v>10.898999999999999</v>
      </c>
      <c r="D1070">
        <f>LN(Table1[[#This Row],[IPC_real]]/B1071)</f>
        <v>1.8298888062871894E-2</v>
      </c>
      <c r="E1070">
        <f>LN(Table1[[#This Row],[MXNUSD_real]]/C1071)</f>
        <v>-2.4742280663513886E-3</v>
      </c>
      <c r="N1070" s="4">
        <v>0.88808492052285126</v>
      </c>
    </row>
    <row r="1071" spans="1:14" x14ac:dyDescent="0.25">
      <c r="A1071" s="1">
        <v>39353</v>
      </c>
      <c r="B1071" s="2">
        <v>30296.19</v>
      </c>
      <c r="C1071" s="2">
        <v>10.926</v>
      </c>
      <c r="D1071">
        <f>LN(Table1[[#This Row],[IPC_real]]/B1072)</f>
        <v>-7.6223332310702977E-3</v>
      </c>
      <c r="E1071">
        <f>LN(Table1[[#This Row],[MXNUSD_real]]/C1072)</f>
        <v>1.0072799716187948E-3</v>
      </c>
      <c r="N1071" s="4">
        <v>0.88726704318222394</v>
      </c>
    </row>
    <row r="1072" spans="1:14" x14ac:dyDescent="0.25">
      <c r="A1072" s="1">
        <v>39352</v>
      </c>
      <c r="B1072" s="2">
        <v>30528</v>
      </c>
      <c r="C1072" s="2">
        <v>10.914999999999999</v>
      </c>
      <c r="D1072">
        <f>LN(Table1[[#This Row],[IPC_real]]/B1073)</f>
        <v>7.3916377624209583E-3</v>
      </c>
      <c r="E1072">
        <f>LN(Table1[[#This Row],[MXNUSD_real]]/C1073)</f>
        <v>-1.5105397328981837E-3</v>
      </c>
      <c r="N1072" s="4">
        <v>0.88878868140782652</v>
      </c>
    </row>
    <row r="1073" spans="1:14" x14ac:dyDescent="0.25">
      <c r="A1073" s="1">
        <v>39351</v>
      </c>
      <c r="B1073" s="2">
        <v>30303.18</v>
      </c>
      <c r="C1073" s="2">
        <v>10.9315</v>
      </c>
      <c r="D1073">
        <f>LN(Table1[[#This Row],[IPC_real]]/B1074)</f>
        <v>2.7756714720523606E-4</v>
      </c>
      <c r="E1073">
        <f>LN(Table1[[#This Row],[MXNUSD_real]]/C1074)</f>
        <v>-9.1474570133212056E-5</v>
      </c>
      <c r="N1073" s="4">
        <v>0.88762696632656568</v>
      </c>
    </row>
    <row r="1074" spans="1:14" x14ac:dyDescent="0.25">
      <c r="A1074" s="1">
        <v>39350</v>
      </c>
      <c r="B1074" s="2">
        <v>30294.77</v>
      </c>
      <c r="C1074" s="2">
        <v>10.932499999999999</v>
      </c>
      <c r="D1074">
        <f>LN(Table1[[#This Row],[IPC_real]]/B1075)</f>
        <v>-8.1751696551693679E-3</v>
      </c>
      <c r="E1074">
        <f>LN(Table1[[#This Row],[MXNUSD_real]]/C1075)</f>
        <v>-1.5994519575712755E-3</v>
      </c>
      <c r="N1074" s="4">
        <v>0.88738781966457125</v>
      </c>
    </row>
    <row r="1075" spans="1:14" x14ac:dyDescent="0.25">
      <c r="A1075" s="1">
        <v>39349</v>
      </c>
      <c r="B1075" s="2">
        <v>30543.45</v>
      </c>
      <c r="C1075" s="2">
        <v>10.95</v>
      </c>
      <c r="D1075">
        <f>LN(Table1[[#This Row],[IPC_real]]/B1076)</f>
        <v>-1.2963278638579621E-3</v>
      </c>
      <c r="E1075">
        <f>LN(Table1[[#This Row],[MXNUSD_real]]/C1076)</f>
        <v>-9.5844465473535938E-4</v>
      </c>
      <c r="N1075" s="4">
        <v>0.88735346866837728</v>
      </c>
    </row>
    <row r="1076" spans="1:14" x14ac:dyDescent="0.25">
      <c r="A1076" s="1">
        <v>39346</v>
      </c>
      <c r="B1076" s="2">
        <v>30583.07</v>
      </c>
      <c r="C1076" s="2">
        <v>10.9605</v>
      </c>
      <c r="D1076">
        <f>LN(Table1[[#This Row],[IPC_real]]/B1077)</f>
        <v>3.1872265547201843E-3</v>
      </c>
      <c r="E1076">
        <f>LN(Table1[[#This Row],[MXNUSD_real]]/C1077)</f>
        <v>-1.777535164139477E-3</v>
      </c>
      <c r="N1076" s="4">
        <v>0.88824531975447951</v>
      </c>
    </row>
    <row r="1077" spans="1:14" x14ac:dyDescent="0.25">
      <c r="A1077" s="1">
        <v>39345</v>
      </c>
      <c r="B1077" s="2">
        <v>30485.75</v>
      </c>
      <c r="C1077" s="2">
        <v>10.98</v>
      </c>
      <c r="D1077">
        <f>LN(Table1[[#This Row],[IPC_real]]/B1078)</f>
        <v>-8.8166267148577992E-4</v>
      </c>
      <c r="E1077">
        <f>LN(Table1[[#This Row],[MXNUSD_real]]/C1078)</f>
        <v>-9.1070534191524627E-5</v>
      </c>
      <c r="N1077" s="4">
        <v>0.88695556126438979</v>
      </c>
    </row>
    <row r="1078" spans="1:14" x14ac:dyDescent="0.25">
      <c r="A1078" s="1">
        <v>39344</v>
      </c>
      <c r="B1078" s="2">
        <v>30512.639999999999</v>
      </c>
      <c r="C1078" s="2">
        <v>10.981</v>
      </c>
      <c r="D1078">
        <f>LN(Table1[[#This Row],[IPC_real]]/B1079)</f>
        <v>-2.9707434269652935E-3</v>
      </c>
      <c r="E1078">
        <f>LN(Table1[[#This Row],[MXNUSD_real]]/C1079)</f>
        <v>-6.7163076938334103E-3</v>
      </c>
      <c r="N1078" s="4">
        <v>0.88789564318760217</v>
      </c>
    </row>
    <row r="1079" spans="1:14" x14ac:dyDescent="0.25">
      <c r="A1079" s="1">
        <v>39343</v>
      </c>
      <c r="B1079" s="2">
        <v>30603.42</v>
      </c>
      <c r="C1079" s="2">
        <v>11.055</v>
      </c>
      <c r="D1079">
        <f>LN(Table1[[#This Row],[IPC_real]]/B1080)</f>
        <v>2.6788290332496419E-2</v>
      </c>
      <c r="E1079">
        <f>LN(Table1[[#This Row],[MXNUSD_real]]/C1080)</f>
        <v>-7.3900841015535823E-3</v>
      </c>
      <c r="N1079" s="4">
        <v>0.88737054374084401</v>
      </c>
    </row>
    <row r="1080" spans="1:14" x14ac:dyDescent="0.25">
      <c r="A1080" s="1">
        <v>39342</v>
      </c>
      <c r="B1080" s="2">
        <v>29794.49</v>
      </c>
      <c r="C1080" s="2">
        <v>11.137</v>
      </c>
      <c r="D1080">
        <f>LN(Table1[[#This Row],[IPC_real]]/B1081)</f>
        <v>-1.0069792281873569E-2</v>
      </c>
      <c r="E1080">
        <f>LN(Table1[[#This Row],[MXNUSD_real]]/C1081)</f>
        <v>1.2578618010709291E-3</v>
      </c>
      <c r="N1080" s="4">
        <v>0.88792813868230824</v>
      </c>
    </row>
    <row r="1081" spans="1:14" x14ac:dyDescent="0.25">
      <c r="A1081" s="1">
        <v>39339</v>
      </c>
      <c r="B1081" s="2">
        <v>30096.03</v>
      </c>
      <c r="C1081" s="2">
        <v>11.122999999999999</v>
      </c>
      <c r="D1081">
        <f>LN(Table1[[#This Row],[IPC_real]]/B1082)</f>
        <v>-6.8280377985216025E-3</v>
      </c>
      <c r="E1081">
        <f>LN(Table1[[#This Row],[MXNUSD_real]]/C1082)</f>
        <v>2.5204802253349316E-3</v>
      </c>
      <c r="N1081" s="4">
        <v>0.88769279802681678</v>
      </c>
    </row>
    <row r="1082" spans="1:14" x14ac:dyDescent="0.25">
      <c r="A1082" s="1">
        <v>39338</v>
      </c>
      <c r="B1082" s="2">
        <v>30302.23</v>
      </c>
      <c r="C1082" s="2">
        <v>11.095000000000001</v>
      </c>
      <c r="D1082">
        <f>LN(Table1[[#This Row],[IPC_real]]/B1083)</f>
        <v>7.4828235075696786E-3</v>
      </c>
      <c r="E1082">
        <f>LN(Table1[[#This Row],[MXNUSD_real]]/C1083)</f>
        <v>5.4093041347851392E-4</v>
      </c>
      <c r="N1082" s="4">
        <v>0.88799308126271914</v>
      </c>
    </row>
    <row r="1083" spans="1:14" x14ac:dyDescent="0.25">
      <c r="A1083" s="1">
        <v>39337</v>
      </c>
      <c r="B1083" s="2">
        <v>30076.33</v>
      </c>
      <c r="C1083" s="2">
        <v>11.089</v>
      </c>
      <c r="D1083">
        <f>LN(Table1[[#This Row],[IPC_real]]/B1084)</f>
        <v>-3.8100201944505896E-3</v>
      </c>
      <c r="E1083">
        <f>LN(Table1[[#This Row],[MXNUSD_real]]/C1084)</f>
        <v>1.037601879571376E-3</v>
      </c>
      <c r="N1083" s="4">
        <v>0.88737039249631489</v>
      </c>
    </row>
    <row r="1084" spans="1:14" x14ac:dyDescent="0.25">
      <c r="A1084" s="1">
        <v>39336</v>
      </c>
      <c r="B1084" s="2">
        <v>30191.14</v>
      </c>
      <c r="C1084" s="2">
        <v>11.077500000000001</v>
      </c>
      <c r="D1084">
        <f>LN(Table1[[#This Row],[IPC_real]]/B1085)</f>
        <v>9.9181431199434258E-3</v>
      </c>
      <c r="E1084">
        <f>LN(Table1[[#This Row],[MXNUSD_real]]/C1085)</f>
        <v>-5.5364397715451166E-3</v>
      </c>
      <c r="N1084" s="4">
        <v>0.88971909293953577</v>
      </c>
    </row>
    <row r="1085" spans="1:14" x14ac:dyDescent="0.25">
      <c r="A1085" s="1">
        <v>39335</v>
      </c>
      <c r="B1085" s="2">
        <v>29893.18</v>
      </c>
      <c r="C1085" s="2">
        <v>11.138999999999999</v>
      </c>
      <c r="D1085">
        <f>LN(Table1[[#This Row],[IPC_real]]/B1086)</f>
        <v>-1.1957389798641268E-2</v>
      </c>
      <c r="E1085">
        <f>LN(Table1[[#This Row],[MXNUSD_real]]/C1086)</f>
        <v>-4.4886325388530644E-5</v>
      </c>
      <c r="N1085" s="4">
        <v>0.88994349179326948</v>
      </c>
    </row>
    <row r="1086" spans="1:14" x14ac:dyDescent="0.25">
      <c r="A1086" s="1">
        <v>39332</v>
      </c>
      <c r="B1086" s="2">
        <v>30252.77</v>
      </c>
      <c r="C1086" s="2">
        <v>11.1395</v>
      </c>
      <c r="D1086">
        <f>LN(Table1[[#This Row],[IPC_real]]/B1087)</f>
        <v>-1.847711274927789E-2</v>
      </c>
      <c r="E1086">
        <f>LN(Table1[[#This Row],[MXNUSD_real]]/C1087)</f>
        <v>7.0267394205370077E-3</v>
      </c>
      <c r="N1086" s="4">
        <v>0.88685988561119788</v>
      </c>
    </row>
    <row r="1087" spans="1:14" x14ac:dyDescent="0.25">
      <c r="A1087" s="1">
        <v>39331</v>
      </c>
      <c r="B1087" s="2">
        <v>30816.95</v>
      </c>
      <c r="C1087" s="2">
        <v>11.061500000000001</v>
      </c>
      <c r="D1087">
        <f>LN(Table1[[#This Row],[IPC_real]]/B1088)</f>
        <v>2.4015642736701436E-4</v>
      </c>
      <c r="E1087">
        <f>LN(Table1[[#This Row],[MXNUSD_real]]/C1088)</f>
        <v>-2.8436679886182743E-3</v>
      </c>
      <c r="N1087" s="4">
        <v>0.88637191419576755</v>
      </c>
    </row>
    <row r="1088" spans="1:14" x14ac:dyDescent="0.25">
      <c r="A1088" s="1">
        <v>39330</v>
      </c>
      <c r="B1088" s="2">
        <v>30809.55</v>
      </c>
      <c r="C1088" s="2">
        <v>11.093</v>
      </c>
      <c r="D1088">
        <f>LN(Table1[[#This Row],[IPC_real]]/B1089)</f>
        <v>-3.9894932045488858E-3</v>
      </c>
      <c r="E1088">
        <f>LN(Table1[[#This Row],[MXNUSD_real]]/C1089)</f>
        <v>5.5594619902334472E-3</v>
      </c>
      <c r="N1088" s="4">
        <v>0.88713259519681376</v>
      </c>
    </row>
    <row r="1089" spans="1:14" x14ac:dyDescent="0.25">
      <c r="A1089" s="1">
        <v>39329</v>
      </c>
      <c r="B1089" s="2">
        <v>30932.71</v>
      </c>
      <c r="C1089" s="2">
        <v>11.031499999999999</v>
      </c>
      <c r="D1089">
        <f>LN(Table1[[#This Row],[IPC_real]]/B1090)</f>
        <v>4.3774351934209501E-3</v>
      </c>
      <c r="E1089">
        <f>LN(Table1[[#This Row],[MXNUSD_real]]/C1090)</f>
        <v>4.0800598974790247E-4</v>
      </c>
      <c r="N1089" s="4">
        <v>0.8869440044331508</v>
      </c>
    </row>
    <row r="1090" spans="1:14" x14ac:dyDescent="0.25">
      <c r="A1090" s="1">
        <v>39328</v>
      </c>
      <c r="B1090" s="2">
        <v>30797.599999999999</v>
      </c>
      <c r="C1090" s="2">
        <v>11.026999999999999</v>
      </c>
      <c r="D1090">
        <f>LN(Table1[[#This Row],[IPC_real]]/B1091)</f>
        <v>1.4710760554415298E-2</v>
      </c>
      <c r="E1090">
        <f>LN(Table1[[#This Row],[MXNUSD_real]]/C1091)</f>
        <v>-5.4397100162762704E-4</v>
      </c>
      <c r="N1090" s="4">
        <v>0.88931979485776702</v>
      </c>
    </row>
    <row r="1091" spans="1:14" x14ac:dyDescent="0.25">
      <c r="A1091" s="1">
        <v>39325</v>
      </c>
      <c r="B1091" s="2">
        <v>30347.86</v>
      </c>
      <c r="C1091" s="2">
        <v>11.032999999999999</v>
      </c>
      <c r="D1091">
        <f>LN(Table1[[#This Row],[IPC_real]]/B1092)</f>
        <v>2.0096219918974634E-2</v>
      </c>
      <c r="E1091">
        <f>LN(Table1[[#This Row],[MXNUSD_real]]/C1092)</f>
        <v>-5.3333459753627287E-3</v>
      </c>
      <c r="N1091" s="4">
        <v>0.88735309761537973</v>
      </c>
    </row>
    <row r="1092" spans="1:14" x14ac:dyDescent="0.25">
      <c r="A1092" s="1">
        <v>39324</v>
      </c>
      <c r="B1092" s="2">
        <v>29744.07</v>
      </c>
      <c r="C1092" s="2">
        <v>11.092000000000001</v>
      </c>
      <c r="D1092">
        <f>LN(Table1[[#This Row],[IPC_real]]/B1093)</f>
        <v>1.1198414756385246E-3</v>
      </c>
      <c r="E1092">
        <f>LN(Table1[[#This Row],[MXNUSD_real]]/C1093)</f>
        <v>-8.110665969785091E-4</v>
      </c>
      <c r="N1092" s="4">
        <v>0.88454901829071519</v>
      </c>
    </row>
    <row r="1093" spans="1:14" x14ac:dyDescent="0.25">
      <c r="A1093" s="1">
        <v>39323</v>
      </c>
      <c r="B1093" s="2">
        <v>29710.78</v>
      </c>
      <c r="C1093" s="2">
        <v>11.101000000000001</v>
      </c>
      <c r="D1093">
        <f>LN(Table1[[#This Row],[IPC_real]]/B1094)</f>
        <v>1.3009533127609135E-2</v>
      </c>
      <c r="E1093">
        <f>LN(Table1[[#This Row],[MXNUSD_real]]/C1094)</f>
        <v>-2.251795816670706E-4</v>
      </c>
      <c r="N1093" s="4">
        <v>0.88837789791098276</v>
      </c>
    </row>
    <row r="1094" spans="1:14" x14ac:dyDescent="0.25">
      <c r="A1094" s="1">
        <v>39322</v>
      </c>
      <c r="B1094" s="2">
        <v>29326.76</v>
      </c>
      <c r="C1094" s="2">
        <v>11.1035</v>
      </c>
      <c r="D1094">
        <f>LN(Table1[[#This Row],[IPC_real]]/B1095)</f>
        <v>-3.1849624930105597E-2</v>
      </c>
      <c r="E1094">
        <f>LN(Table1[[#This Row],[MXNUSD_real]]/C1095)</f>
        <v>5.8712118795509055E-3</v>
      </c>
      <c r="N1094" s="4">
        <v>0.8851566763925065</v>
      </c>
    </row>
    <row r="1095" spans="1:14" x14ac:dyDescent="0.25">
      <c r="A1095" s="1">
        <v>39321</v>
      </c>
      <c r="B1095" s="2">
        <v>30275.84</v>
      </c>
      <c r="C1095" s="2">
        <v>11.038500000000001</v>
      </c>
      <c r="D1095">
        <f>LN(Table1[[#This Row],[IPC_real]]/B1096)</f>
        <v>7.768944157035499E-3</v>
      </c>
      <c r="E1095">
        <f>LN(Table1[[#This Row],[MXNUSD_real]]/C1096)</f>
        <v>8.6099472861650797E-4</v>
      </c>
      <c r="N1095" s="4">
        <v>0.88718281182978209</v>
      </c>
    </row>
    <row r="1096" spans="1:14" x14ac:dyDescent="0.25">
      <c r="A1096" s="1">
        <v>39318</v>
      </c>
      <c r="B1096" s="2">
        <v>30041.54</v>
      </c>
      <c r="C1096" s="2">
        <v>11.029</v>
      </c>
      <c r="D1096">
        <f>LN(Table1[[#This Row],[IPC_real]]/B1097)</f>
        <v>1.9553789525771598E-2</v>
      </c>
      <c r="E1096">
        <f>LN(Table1[[#This Row],[MXNUSD_real]]/C1097)</f>
        <v>-3.5750688603841392E-3</v>
      </c>
      <c r="N1096" s="4">
        <v>0.88753930604323616</v>
      </c>
    </row>
    <row r="1097" spans="1:14" x14ac:dyDescent="0.25">
      <c r="A1097" s="1">
        <v>39317</v>
      </c>
      <c r="B1097" s="2">
        <v>29459.82</v>
      </c>
      <c r="C1097" s="2">
        <v>11.0685</v>
      </c>
      <c r="D1097">
        <f>LN(Table1[[#This Row],[IPC_real]]/B1098)</f>
        <v>6.4867492712757605E-3</v>
      </c>
      <c r="E1097">
        <f>LN(Table1[[#This Row],[MXNUSD_real]]/C1098)</f>
        <v>-7.676503504018108E-4</v>
      </c>
      <c r="N1097" s="4">
        <v>0.88925024352241189</v>
      </c>
    </row>
    <row r="1098" spans="1:14" x14ac:dyDescent="0.25">
      <c r="A1098" s="1">
        <v>39316</v>
      </c>
      <c r="B1098" s="2">
        <v>29269.34</v>
      </c>
      <c r="C1098" s="2">
        <v>11.077</v>
      </c>
      <c r="D1098">
        <f>LN(Table1[[#This Row],[IPC_real]]/B1099)</f>
        <v>2.423828977982229E-2</v>
      </c>
      <c r="E1098">
        <f>LN(Table1[[#This Row],[MXNUSD_real]]/C1099)</f>
        <v>-4.0092852768519689E-3</v>
      </c>
      <c r="N1098" s="4">
        <v>0.88763833865377673</v>
      </c>
    </row>
    <row r="1099" spans="1:14" x14ac:dyDescent="0.25">
      <c r="A1099" s="1">
        <v>39315</v>
      </c>
      <c r="B1099" s="2">
        <v>28568.43</v>
      </c>
      <c r="C1099" s="2">
        <v>11.121499999999999</v>
      </c>
      <c r="D1099">
        <f>LN(Table1[[#This Row],[IPC_real]]/B1100)</f>
        <v>4.0293288808185912E-3</v>
      </c>
      <c r="E1099">
        <f>LN(Table1[[#This Row],[MXNUSD_real]]/C1100)</f>
        <v>-4.4947861238589932E-4</v>
      </c>
      <c r="N1099" s="4">
        <v>0.88742053959571621</v>
      </c>
    </row>
    <row r="1100" spans="1:14" x14ac:dyDescent="0.25">
      <c r="A1100" s="1">
        <v>39314</v>
      </c>
      <c r="B1100" s="2">
        <v>28453.55</v>
      </c>
      <c r="C1100" s="2">
        <v>11.1265</v>
      </c>
      <c r="D1100">
        <f>LN(Table1[[#This Row],[IPC_real]]/B1101)</f>
        <v>-2.0051193243703154E-3</v>
      </c>
      <c r="E1100">
        <f>LN(Table1[[#This Row],[MXNUSD_real]]/C1101)</f>
        <v>3.2858490617579381E-3</v>
      </c>
      <c r="N1100" s="4">
        <v>0.88502871801502347</v>
      </c>
    </row>
    <row r="1101" spans="1:14" x14ac:dyDescent="0.25">
      <c r="A1101" s="1">
        <v>39311</v>
      </c>
      <c r="B1101" s="2">
        <v>28510.66</v>
      </c>
      <c r="C1101" s="2">
        <v>11.09</v>
      </c>
      <c r="D1101">
        <f>LN(Table1[[#This Row],[IPC_real]]/B1102)</f>
        <v>2.5488105171100381E-2</v>
      </c>
      <c r="E1101">
        <f>LN(Table1[[#This Row],[MXNUSD_real]]/C1102)</f>
        <v>-1.3257091327730784E-2</v>
      </c>
      <c r="N1101" s="4">
        <v>0.88701123691623385</v>
      </c>
    </row>
    <row r="1102" spans="1:14" x14ac:dyDescent="0.25">
      <c r="A1102" s="1">
        <v>39310</v>
      </c>
      <c r="B1102" s="2">
        <v>27793.16</v>
      </c>
      <c r="C1102" s="2">
        <v>11.238</v>
      </c>
      <c r="D1102">
        <f>LN(Table1[[#This Row],[IPC_real]]/B1103)</f>
        <v>-1.2428045812195702E-2</v>
      </c>
      <c r="E1102">
        <f>LN(Table1[[#This Row],[MXNUSD_real]]/C1103)</f>
        <v>9.4770490263620423E-3</v>
      </c>
      <c r="N1102" s="4">
        <v>0.88863797275434808</v>
      </c>
    </row>
    <row r="1103" spans="1:14" x14ac:dyDescent="0.25">
      <c r="A1103" s="1">
        <v>39309</v>
      </c>
      <c r="B1103" s="2">
        <v>28140.73</v>
      </c>
      <c r="C1103" s="2">
        <v>11.132</v>
      </c>
      <c r="D1103">
        <f>LN(Table1[[#This Row],[IPC_real]]/B1104)</f>
        <v>-2.6475840267366289E-2</v>
      </c>
      <c r="E1103">
        <f>LN(Table1[[#This Row],[MXNUSD_real]]/C1104)</f>
        <v>5.3141309476729707E-3</v>
      </c>
      <c r="N1103" s="4">
        <v>0.88762227035902397</v>
      </c>
    </row>
    <row r="1104" spans="1:14" x14ac:dyDescent="0.25">
      <c r="A1104" s="1">
        <v>39308</v>
      </c>
      <c r="B1104" s="2">
        <v>28895.73</v>
      </c>
      <c r="C1104" s="2">
        <v>11.073</v>
      </c>
      <c r="D1104">
        <f>LN(Table1[[#This Row],[IPC_real]]/B1105)</f>
        <v>-2.432374165731653E-2</v>
      </c>
      <c r="E1104">
        <f>LN(Table1[[#This Row],[MXNUSD_real]]/C1105)</f>
        <v>5.7965926277051775E-3</v>
      </c>
      <c r="N1104" s="4">
        <v>0.88879087188041039</v>
      </c>
    </row>
    <row r="1105" spans="1:14" x14ac:dyDescent="0.25">
      <c r="A1105" s="1">
        <v>39307</v>
      </c>
      <c r="B1105" s="2">
        <v>29607.200000000001</v>
      </c>
      <c r="C1105" s="2">
        <v>11.009</v>
      </c>
      <c r="D1105">
        <f>LN(Table1[[#This Row],[IPC_real]]/B1106)</f>
        <v>6.3268844218800331E-3</v>
      </c>
      <c r="E1105">
        <f>LN(Table1[[#This Row],[MXNUSD_real]]/C1106)</f>
        <v>-1.8165304318788102E-4</v>
      </c>
      <c r="N1105" s="4">
        <v>0.8875041670109195</v>
      </c>
    </row>
    <row r="1106" spans="1:14" x14ac:dyDescent="0.25">
      <c r="A1106" s="1">
        <v>39304</v>
      </c>
      <c r="B1106" s="2">
        <v>29420.47</v>
      </c>
      <c r="C1106" s="2">
        <v>11.010999999999999</v>
      </c>
      <c r="D1106">
        <f>LN(Table1[[#This Row],[IPC_real]]/B1107)</f>
        <v>-1.563119103122125E-2</v>
      </c>
      <c r="E1106">
        <f>LN(Table1[[#This Row],[MXNUSD_real]]/C1107)</f>
        <v>1.7725263134192803E-3</v>
      </c>
      <c r="N1106" s="4">
        <v>0.88607130810808554</v>
      </c>
    </row>
    <row r="1107" spans="1:14" x14ac:dyDescent="0.25">
      <c r="A1107" s="1">
        <v>39303</v>
      </c>
      <c r="B1107" s="2">
        <v>29883.96</v>
      </c>
      <c r="C1107" s="2">
        <v>10.9915</v>
      </c>
      <c r="D1107">
        <f>LN(Table1[[#This Row],[IPC_real]]/B1108)</f>
        <v>-2.5697981499898607E-2</v>
      </c>
      <c r="E1107">
        <f>LN(Table1[[#This Row],[MXNUSD_real]]/C1108)</f>
        <v>6.617855786105434E-3</v>
      </c>
      <c r="N1107" s="4">
        <v>0.89178806776562747</v>
      </c>
    </row>
    <row r="1108" spans="1:14" x14ac:dyDescent="0.25">
      <c r="A1108" s="1">
        <v>39302</v>
      </c>
      <c r="B1108" s="2">
        <v>30661.87</v>
      </c>
      <c r="C1108" s="2">
        <v>10.919</v>
      </c>
      <c r="D1108">
        <f>LN(Table1[[#This Row],[IPC_real]]/B1109)</f>
        <v>1.3856957298469155E-2</v>
      </c>
      <c r="E1108">
        <f>LN(Table1[[#This Row],[MXNUSD_real]]/C1109)</f>
        <v>-5.7531778247515673E-3</v>
      </c>
      <c r="N1108" s="4">
        <v>0.8835033170754979</v>
      </c>
    </row>
    <row r="1109" spans="1:14" x14ac:dyDescent="0.25">
      <c r="A1109" s="1">
        <v>39301</v>
      </c>
      <c r="B1109" s="2">
        <v>30239.919999999998</v>
      </c>
      <c r="C1109" s="2">
        <v>10.981999999999999</v>
      </c>
      <c r="D1109">
        <f>LN(Table1[[#This Row],[IPC_real]]/B1110)</f>
        <v>1.7287842237500305E-2</v>
      </c>
      <c r="E1109">
        <f>LN(Table1[[#This Row],[MXNUSD_real]]/C1110)</f>
        <v>1.1844564274838109E-3</v>
      </c>
      <c r="N1109" s="4">
        <v>0.88525693880007938</v>
      </c>
    </row>
    <row r="1110" spans="1:14" x14ac:dyDescent="0.25">
      <c r="A1110" s="1">
        <v>39300</v>
      </c>
      <c r="B1110" s="2">
        <v>29721.63</v>
      </c>
      <c r="C1110" s="2">
        <v>10.968999999999999</v>
      </c>
      <c r="D1110">
        <f>LN(Table1[[#This Row],[IPC_real]]/B1111)</f>
        <v>1.6789748259154122E-3</v>
      </c>
      <c r="E1110">
        <f>LN(Table1[[#This Row],[MXNUSD_real]]/C1111)</f>
        <v>-1.5486224912316883E-3</v>
      </c>
      <c r="N1110" s="4">
        <v>0.88505940192826016</v>
      </c>
    </row>
    <row r="1111" spans="1:14" x14ac:dyDescent="0.25">
      <c r="A1111" s="1">
        <v>39297</v>
      </c>
      <c r="B1111" s="2">
        <v>29671.77</v>
      </c>
      <c r="C1111" s="2">
        <v>10.986000000000001</v>
      </c>
      <c r="D1111">
        <f>LN(Table1[[#This Row],[IPC_real]]/B1112)</f>
        <v>-2.4075781411247027E-2</v>
      </c>
      <c r="E1111">
        <f>LN(Table1[[#This Row],[MXNUSD_real]]/C1112)</f>
        <v>2.7801216548307048E-3</v>
      </c>
      <c r="N1111" s="4">
        <v>0.88740427579947301</v>
      </c>
    </row>
    <row r="1112" spans="1:14" x14ac:dyDescent="0.25">
      <c r="A1112" s="1">
        <v>39296</v>
      </c>
      <c r="B1112" s="2">
        <v>30394.81</v>
      </c>
      <c r="C1112" s="2">
        <v>10.955500000000001</v>
      </c>
      <c r="D1112">
        <f>LN(Table1[[#This Row],[IPC_real]]/B1113)</f>
        <v>1.1463453571455336E-2</v>
      </c>
      <c r="E1112">
        <f>LN(Table1[[#This Row],[MXNUSD_real]]/C1113)</f>
        <v>-2.5525334065052375E-3</v>
      </c>
      <c r="N1112" s="4">
        <v>0.88666216846504053</v>
      </c>
    </row>
    <row r="1113" spans="1:14" x14ac:dyDescent="0.25">
      <c r="A1113" s="1">
        <v>39295</v>
      </c>
      <c r="B1113" s="2">
        <v>30048.37</v>
      </c>
      <c r="C1113" s="2">
        <v>10.983499999999999</v>
      </c>
      <c r="D1113">
        <f>LN(Table1[[#This Row],[IPC_real]]/B1114)</f>
        <v>-2.0139367433363694E-2</v>
      </c>
      <c r="E1113">
        <f>LN(Table1[[#This Row],[MXNUSD_real]]/C1114)</f>
        <v>3.8312475598258062E-3</v>
      </c>
      <c r="N1113" s="4">
        <v>0.88471973717281305</v>
      </c>
    </row>
    <row r="1114" spans="1:14" x14ac:dyDescent="0.25">
      <c r="A1114" s="1">
        <v>39294</v>
      </c>
      <c r="B1114" s="2">
        <v>30659.66</v>
      </c>
      <c r="C1114" s="2">
        <v>10.9415</v>
      </c>
      <c r="D1114">
        <f>LN(Table1[[#This Row],[IPC_real]]/B1115)</f>
        <v>-7.8304061191260543E-3</v>
      </c>
      <c r="E1114">
        <f>LN(Table1[[#This Row],[MXNUSD_real]]/C1115)</f>
        <v>-7.3089400723019143E-4</v>
      </c>
      <c r="N1114" s="4">
        <v>0.8893937528272633</v>
      </c>
    </row>
    <row r="1115" spans="1:14" x14ac:dyDescent="0.25">
      <c r="A1115" s="1">
        <v>39293</v>
      </c>
      <c r="B1115" s="2">
        <v>30900.68</v>
      </c>
      <c r="C1115" s="2">
        <v>10.9495</v>
      </c>
      <c r="D1115">
        <f>LN(Table1[[#This Row],[IPC_real]]/B1116)</f>
        <v>2.1772373801895388E-2</v>
      </c>
      <c r="E1115">
        <f>LN(Table1[[#This Row],[MXNUSD_real]]/C1116)</f>
        <v>-7.7598999671618435E-4</v>
      </c>
      <c r="N1115" s="4">
        <v>0.88688795274271326</v>
      </c>
    </row>
    <row r="1116" spans="1:14" x14ac:dyDescent="0.25">
      <c r="A1116" s="1">
        <v>39290</v>
      </c>
      <c r="B1116" s="2">
        <v>30235.17</v>
      </c>
      <c r="C1116" s="2">
        <v>10.958</v>
      </c>
      <c r="D1116">
        <f>LN(Table1[[#This Row],[IPC_real]]/B1117)</f>
        <v>7.9217744260429886E-3</v>
      </c>
      <c r="E1116">
        <f>LN(Table1[[#This Row],[MXNUSD_real]]/C1117)</f>
        <v>-2.6429726025199002E-3</v>
      </c>
      <c r="N1116" s="4">
        <v>0.88790956743612182</v>
      </c>
    </row>
    <row r="1117" spans="1:14" x14ac:dyDescent="0.25">
      <c r="A1117" s="1">
        <v>39289</v>
      </c>
      <c r="B1117" s="2">
        <v>29996.6</v>
      </c>
      <c r="C1117" s="2">
        <v>10.987</v>
      </c>
      <c r="D1117">
        <f>LN(Table1[[#This Row],[IPC_real]]/B1118)</f>
        <v>-3.6237275661039993E-2</v>
      </c>
      <c r="E1117">
        <f>LN(Table1[[#This Row],[MXNUSD_real]]/C1118)</f>
        <v>1.0982081638029193E-2</v>
      </c>
      <c r="N1117" s="4">
        <v>0.88627034594706122</v>
      </c>
    </row>
    <row r="1118" spans="1:14" x14ac:dyDescent="0.25">
      <c r="A1118" s="1">
        <v>39288</v>
      </c>
      <c r="B1118" s="2">
        <v>31103.53</v>
      </c>
      <c r="C1118" s="2">
        <v>10.867000000000001</v>
      </c>
      <c r="D1118">
        <f>LN(Table1[[#This Row],[IPC_real]]/B1119)</f>
        <v>-1.1463918478013613E-2</v>
      </c>
      <c r="E1118">
        <f>LN(Table1[[#This Row],[MXNUSD_real]]/C1119)</f>
        <v>5.6291386588407369E-3</v>
      </c>
      <c r="N1118" s="4">
        <v>0.88827348866333122</v>
      </c>
    </row>
    <row r="1119" spans="1:14" x14ac:dyDescent="0.25">
      <c r="A1119" s="1">
        <v>39287</v>
      </c>
      <c r="B1119" s="2">
        <v>31462.15</v>
      </c>
      <c r="C1119" s="2">
        <v>10.805999999999999</v>
      </c>
      <c r="D1119">
        <f>LN(Table1[[#This Row],[IPC_real]]/B1120)</f>
        <v>-2.2200300782024784E-2</v>
      </c>
      <c r="E1119">
        <f>LN(Table1[[#This Row],[MXNUSD_real]]/C1120)</f>
        <v>3.6156345882941802E-3</v>
      </c>
      <c r="N1119" s="4">
        <v>0.88585486769566779</v>
      </c>
    </row>
    <row r="1120" spans="1:14" x14ac:dyDescent="0.25">
      <c r="A1120" s="1">
        <v>39286</v>
      </c>
      <c r="B1120" s="2">
        <v>32168.43</v>
      </c>
      <c r="C1120" s="2">
        <v>10.766999999999999</v>
      </c>
      <c r="D1120">
        <f>LN(Table1[[#This Row],[IPC_real]]/B1121)</f>
        <v>7.6706874134788664E-3</v>
      </c>
      <c r="E1120">
        <f>LN(Table1[[#This Row],[MXNUSD_real]]/C1121)</f>
        <v>-1.1138959659114614E-3</v>
      </c>
      <c r="N1120" s="4">
        <v>0.88760865796747479</v>
      </c>
    </row>
    <row r="1121" spans="1:14" x14ac:dyDescent="0.25">
      <c r="A1121" s="1">
        <v>39283</v>
      </c>
      <c r="B1121" s="2">
        <v>31922.62</v>
      </c>
      <c r="C1121" s="2">
        <v>10.779</v>
      </c>
      <c r="D1121">
        <f>LN(Table1[[#This Row],[IPC_real]]/B1122)</f>
        <v>-7.1178187949324399E-3</v>
      </c>
      <c r="E1121">
        <f>LN(Table1[[#This Row],[MXNUSD_real]]/C1122)</f>
        <v>3.0196766342980457E-3</v>
      </c>
      <c r="N1121" s="4">
        <v>0.88762535773614504</v>
      </c>
    </row>
    <row r="1122" spans="1:14" x14ac:dyDescent="0.25">
      <c r="A1122" s="1">
        <v>39282</v>
      </c>
      <c r="B1122" s="2">
        <v>32150.65</v>
      </c>
      <c r="C1122" s="2">
        <v>10.746499999999999</v>
      </c>
      <c r="D1122">
        <f>LN(Table1[[#This Row],[IPC_real]]/B1123)</f>
        <v>8.2424188154162307E-3</v>
      </c>
      <c r="E1122">
        <f>LN(Table1[[#This Row],[MXNUSD_real]]/C1123)</f>
        <v>-4.6515955811293676E-4</v>
      </c>
      <c r="N1122" s="4">
        <v>0.88830597692483571</v>
      </c>
    </row>
    <row r="1123" spans="1:14" x14ac:dyDescent="0.25">
      <c r="A1123" s="1">
        <v>39281</v>
      </c>
      <c r="B1123" s="2">
        <v>31886.74</v>
      </c>
      <c r="C1123" s="2">
        <v>10.7515</v>
      </c>
      <c r="D1123">
        <f>LN(Table1[[#This Row],[IPC_real]]/B1124)</f>
        <v>-2.8935658436071545E-3</v>
      </c>
      <c r="E1123">
        <f>LN(Table1[[#This Row],[MXNUSD_real]]/C1124)</f>
        <v>1.8153471599287852E-3</v>
      </c>
      <c r="N1123" s="4">
        <v>0.88284156399255798</v>
      </c>
    </row>
    <row r="1124" spans="1:14" x14ac:dyDescent="0.25">
      <c r="A1124" s="1">
        <v>39280</v>
      </c>
      <c r="B1124" s="2">
        <v>31979.14</v>
      </c>
      <c r="C1124" s="2">
        <v>10.731999999999999</v>
      </c>
      <c r="D1124">
        <f>LN(Table1[[#This Row],[IPC_real]]/B1125)</f>
        <v>-8.9280595384502431E-3</v>
      </c>
      <c r="E1124">
        <f>LN(Table1[[#This Row],[MXNUSD_real]]/C1125)</f>
        <v>-4.369864236113739E-3</v>
      </c>
      <c r="N1124" s="4">
        <v>0.88512813109462862</v>
      </c>
    </row>
    <row r="1125" spans="1:14" x14ac:dyDescent="0.25">
      <c r="A1125" s="1">
        <v>39279</v>
      </c>
      <c r="B1125" s="2">
        <v>32265.93</v>
      </c>
      <c r="C1125" s="2">
        <v>10.779</v>
      </c>
      <c r="D1125">
        <f>LN(Table1[[#This Row],[IPC_real]]/B1126)</f>
        <v>-3.7301032972356894E-3</v>
      </c>
      <c r="E1125">
        <f>LN(Table1[[#This Row],[MXNUSD_real]]/C1126)</f>
        <v>1.2067766607258832E-3</v>
      </c>
      <c r="N1125" s="4">
        <v>0.88594065572836611</v>
      </c>
    </row>
    <row r="1126" spans="1:14" x14ac:dyDescent="0.25">
      <c r="A1126" s="1">
        <v>39276</v>
      </c>
      <c r="B1126" s="2">
        <v>32386.51</v>
      </c>
      <c r="C1126" s="2">
        <v>10.766</v>
      </c>
      <c r="D1126">
        <f>LN(Table1[[#This Row],[IPC_real]]/B1127)</f>
        <v>3.8798080026597641E-3</v>
      </c>
      <c r="E1126">
        <f>LN(Table1[[#This Row],[MXNUSD_real]]/C1127)</f>
        <v>-7.4280411957635306E-4</v>
      </c>
      <c r="N1126" s="4">
        <v>0.8877500983789246</v>
      </c>
    </row>
    <row r="1127" spans="1:14" x14ac:dyDescent="0.25">
      <c r="A1127" s="1">
        <v>39275</v>
      </c>
      <c r="B1127" s="2">
        <v>32261.1</v>
      </c>
      <c r="C1127" s="2">
        <v>10.773999999999999</v>
      </c>
      <c r="D1127">
        <f>LN(Table1[[#This Row],[IPC_real]]/B1128)</f>
        <v>1.074625895288185E-2</v>
      </c>
      <c r="E1127">
        <f>LN(Table1[[#This Row],[MXNUSD_real]]/C1128)</f>
        <v>-4.1680234470944551E-3</v>
      </c>
      <c r="N1127" s="4">
        <v>0.88617626350926748</v>
      </c>
    </row>
    <row r="1128" spans="1:14" x14ac:dyDescent="0.25">
      <c r="A1128" s="1">
        <v>39274</v>
      </c>
      <c r="B1128" s="2">
        <v>31916.27</v>
      </c>
      <c r="C1128" s="2">
        <v>10.819000000000001</v>
      </c>
      <c r="D1128">
        <f>LN(Table1[[#This Row],[IPC_real]]/B1129)</f>
        <v>5.4430524668750389E-3</v>
      </c>
      <c r="E1128">
        <f>LN(Table1[[#This Row],[MXNUSD_real]]/C1129)</f>
        <v>1.5725455347371177E-3</v>
      </c>
      <c r="N1128" s="4">
        <v>0.88751000205666208</v>
      </c>
    </row>
    <row r="1129" spans="1:14" x14ac:dyDescent="0.25">
      <c r="A1129" s="1">
        <v>39273</v>
      </c>
      <c r="B1129" s="2">
        <v>31743.02</v>
      </c>
      <c r="C1129" s="2">
        <v>10.802</v>
      </c>
      <c r="D1129">
        <f>LN(Table1[[#This Row],[IPC_real]]/B1130)</f>
        <v>-1.0817060861839888E-2</v>
      </c>
      <c r="E1129">
        <f>LN(Table1[[#This Row],[MXNUSD_real]]/C1130)</f>
        <v>3.6634324168501532E-3</v>
      </c>
      <c r="N1129" s="4">
        <v>0.88664564455308448</v>
      </c>
    </row>
    <row r="1130" spans="1:14" x14ac:dyDescent="0.25">
      <c r="A1130" s="1">
        <v>39272</v>
      </c>
      <c r="B1130" s="2">
        <v>32088.25</v>
      </c>
      <c r="C1130" s="2">
        <v>10.762499999999999</v>
      </c>
      <c r="D1130">
        <f>LN(Table1[[#This Row],[IPC_real]]/B1131)</f>
        <v>-1.0033868631055513E-2</v>
      </c>
      <c r="E1130">
        <f>LN(Table1[[#This Row],[MXNUSD_real]]/C1131)</f>
        <v>-9.2872075400700165E-4</v>
      </c>
      <c r="N1130" s="4">
        <v>0.888916994227405</v>
      </c>
    </row>
    <row r="1131" spans="1:14" x14ac:dyDescent="0.25">
      <c r="A1131" s="1">
        <v>39269</v>
      </c>
      <c r="B1131" s="2">
        <v>32411.84</v>
      </c>
      <c r="C1131" s="2">
        <v>10.772500000000001</v>
      </c>
      <c r="D1131">
        <f>LN(Table1[[#This Row],[IPC_real]]/B1132)</f>
        <v>7.2460820408002174E-3</v>
      </c>
      <c r="E1131">
        <f>LN(Table1[[#This Row],[MXNUSD_real]]/C1132)</f>
        <v>-3.0586732530884569E-3</v>
      </c>
      <c r="N1131" s="4">
        <v>0.88687942192569158</v>
      </c>
    </row>
    <row r="1132" spans="1:14" x14ac:dyDescent="0.25">
      <c r="A1132" s="1">
        <v>39268</v>
      </c>
      <c r="B1132" s="2">
        <v>32177.83</v>
      </c>
      <c r="C1132" s="2">
        <v>10.8055</v>
      </c>
      <c r="D1132">
        <f>LN(Table1[[#This Row],[IPC_real]]/B1133)</f>
        <v>-7.3936628496771315E-4</v>
      </c>
      <c r="E1132">
        <f>LN(Table1[[#This Row],[MXNUSD_real]]/C1133)</f>
        <v>3.3836274142006006E-3</v>
      </c>
      <c r="N1132" s="4">
        <v>0.88761306966955278</v>
      </c>
    </row>
    <row r="1133" spans="1:14" x14ac:dyDescent="0.25">
      <c r="A1133" s="1">
        <v>39267</v>
      </c>
      <c r="B1133" s="2">
        <v>32201.63</v>
      </c>
      <c r="C1133" s="2">
        <v>10.769</v>
      </c>
      <c r="D1133">
        <f>LN(Table1[[#This Row],[IPC_real]]/B1134)</f>
        <v>2.6057447440064919E-3</v>
      </c>
      <c r="E1133">
        <f>LN(Table1[[#This Row],[MXNUSD_real]]/C1134)</f>
        <v>5.5731006458271135E-4</v>
      </c>
      <c r="N1133" s="4">
        <v>0.88884648946064859</v>
      </c>
    </row>
    <row r="1134" spans="1:14" x14ac:dyDescent="0.25">
      <c r="A1134" s="1">
        <v>39266</v>
      </c>
      <c r="B1134" s="2">
        <v>32117.83</v>
      </c>
      <c r="C1134" s="2">
        <v>10.763</v>
      </c>
      <c r="D1134">
        <f>LN(Table1[[#This Row],[IPC_real]]/B1135)</f>
        <v>2.1944734522125725E-2</v>
      </c>
      <c r="E1134">
        <f>LN(Table1[[#This Row],[MXNUSD_real]]/C1135)</f>
        <v>1.858390639059872E-4</v>
      </c>
      <c r="N1134" s="4">
        <v>0.88673918827142495</v>
      </c>
    </row>
    <row r="1135" spans="1:14" x14ac:dyDescent="0.25">
      <c r="A1135" s="1">
        <v>39265</v>
      </c>
      <c r="B1135" s="2">
        <v>31420.69</v>
      </c>
      <c r="C1135" s="2">
        <v>10.760999999999999</v>
      </c>
      <c r="D1135">
        <f>LN(Table1[[#This Row],[IPC_real]]/B1136)</f>
        <v>8.6186405905038822E-3</v>
      </c>
      <c r="E1135">
        <f>LN(Table1[[#This Row],[MXNUSD_real]]/C1136)</f>
        <v>-4.6356470923792211E-3</v>
      </c>
      <c r="N1135" s="4">
        <v>0.88592166305482956</v>
      </c>
    </row>
    <row r="1136" spans="1:14" x14ac:dyDescent="0.25">
      <c r="A1136" s="1">
        <v>39262</v>
      </c>
      <c r="B1136" s="2">
        <v>31151.05</v>
      </c>
      <c r="C1136" s="2">
        <v>10.811</v>
      </c>
      <c r="D1136">
        <f>LN(Table1[[#This Row],[IPC_real]]/B1137)</f>
        <v>2.3078803545196996E-3</v>
      </c>
      <c r="E1136">
        <f>LN(Table1[[#This Row],[MXNUSD_real]]/C1137)</f>
        <v>1.2958165456309165E-3</v>
      </c>
      <c r="N1136" s="4">
        <v>0.88768182497728387</v>
      </c>
    </row>
    <row r="1137" spans="1:14" x14ac:dyDescent="0.25">
      <c r="A1137" s="1">
        <v>39261</v>
      </c>
      <c r="B1137" s="2">
        <v>31079.24</v>
      </c>
      <c r="C1137" s="2">
        <v>10.797000000000001</v>
      </c>
      <c r="D1137">
        <f>LN(Table1[[#This Row],[IPC_real]]/B1138)</f>
        <v>8.8887032257925977E-3</v>
      </c>
      <c r="E1137">
        <f>LN(Table1[[#This Row],[MXNUSD_real]]/C1138)</f>
        <v>-3.1440750885966423E-3</v>
      </c>
      <c r="N1137" s="4">
        <v>0.88845468060125232</v>
      </c>
    </row>
    <row r="1138" spans="1:14" x14ac:dyDescent="0.25">
      <c r="A1138" s="1">
        <v>39260</v>
      </c>
      <c r="B1138" s="2">
        <v>30804.21</v>
      </c>
      <c r="C1138" s="2">
        <v>10.831</v>
      </c>
      <c r="D1138">
        <f>LN(Table1[[#This Row],[IPC_real]]/B1139)</f>
        <v>1.9334220173106485E-3</v>
      </c>
      <c r="E1138">
        <f>LN(Table1[[#This Row],[MXNUSD_real]]/C1139)</f>
        <v>-1.8448487844706578E-3</v>
      </c>
      <c r="N1138" s="4">
        <v>0.88603264176388019</v>
      </c>
    </row>
    <row r="1139" spans="1:14" x14ac:dyDescent="0.25">
      <c r="A1139" s="1">
        <v>39259</v>
      </c>
      <c r="B1139" s="2">
        <v>30744.71</v>
      </c>
      <c r="C1139" s="2">
        <v>10.851000000000001</v>
      </c>
      <c r="D1139">
        <f>LN(Table1[[#This Row],[IPC_real]]/B1140)</f>
        <v>-1.7772666449097769E-2</v>
      </c>
      <c r="E1139">
        <f>LN(Table1[[#This Row],[MXNUSD_real]]/C1140)</f>
        <v>1.9371806251715241E-3</v>
      </c>
      <c r="N1139" s="4">
        <v>0.88712639976557806</v>
      </c>
    </row>
    <row r="1140" spans="1:14" x14ac:dyDescent="0.25">
      <c r="A1140" s="1">
        <v>39258</v>
      </c>
      <c r="B1140" s="2">
        <v>31296.01</v>
      </c>
      <c r="C1140" s="2">
        <v>10.83</v>
      </c>
      <c r="D1140">
        <f>LN(Table1[[#This Row],[IPC_real]]/B1141)</f>
        <v>-1.1002955537974644E-2</v>
      </c>
      <c r="E1140">
        <f>LN(Table1[[#This Row],[MXNUSD_real]]/C1141)</f>
        <v>-7.3841613102316496E-4</v>
      </c>
      <c r="N1140" s="4">
        <v>0.88726650198600443</v>
      </c>
    </row>
    <row r="1141" spans="1:14" x14ac:dyDescent="0.25">
      <c r="A1141" s="1">
        <v>39255</v>
      </c>
      <c r="B1141" s="2">
        <v>31642.26</v>
      </c>
      <c r="C1141" s="2">
        <v>10.837999999999999</v>
      </c>
      <c r="D1141">
        <f>LN(Table1[[#This Row],[IPC_real]]/B1142)</f>
        <v>-5.9420622237300932E-3</v>
      </c>
      <c r="E1141">
        <f>LN(Table1[[#This Row],[MXNUSD_real]]/C1142)</f>
        <v>4.2533582384675448E-3</v>
      </c>
      <c r="N1141" s="4">
        <v>0.88900946823959703</v>
      </c>
    </row>
    <row r="1142" spans="1:14" x14ac:dyDescent="0.25">
      <c r="A1142" s="1">
        <v>39254</v>
      </c>
      <c r="B1142" s="2">
        <v>31830.84</v>
      </c>
      <c r="C1142" s="2">
        <v>10.792</v>
      </c>
      <c r="D1142">
        <f>LN(Table1[[#This Row],[IPC_real]]/B1143)</f>
        <v>8.8379536986009036E-3</v>
      </c>
      <c r="E1142">
        <f>LN(Table1[[#This Row],[MXNUSD_real]]/C1143)</f>
        <v>-1.6665127456622561E-3</v>
      </c>
      <c r="N1142" s="4">
        <v>0.88684536032459715</v>
      </c>
    </row>
    <row r="1143" spans="1:14" x14ac:dyDescent="0.25">
      <c r="A1143" s="1">
        <v>39253</v>
      </c>
      <c r="B1143" s="2">
        <v>31550.76</v>
      </c>
      <c r="C1143" s="2">
        <v>10.81</v>
      </c>
      <c r="D1143">
        <f>LN(Table1[[#This Row],[IPC_real]]/B1144)</f>
        <v>-1.6167103289144637E-2</v>
      </c>
      <c r="E1143">
        <f>LN(Table1[[#This Row],[MXNUSD_real]]/C1144)</f>
        <v>6.7759111991184682E-3</v>
      </c>
      <c r="N1143" s="4">
        <v>0.88848510294264482</v>
      </c>
    </row>
    <row r="1144" spans="1:14" x14ac:dyDescent="0.25">
      <c r="A1144" s="1">
        <v>39252</v>
      </c>
      <c r="B1144" s="2">
        <v>32064.99</v>
      </c>
      <c r="C1144" s="2">
        <v>10.737</v>
      </c>
      <c r="D1144">
        <f>LN(Table1[[#This Row],[IPC_real]]/B1145)</f>
        <v>-4.765798381075723E-3</v>
      </c>
      <c r="E1144">
        <f>LN(Table1[[#This Row],[MXNUSD_real]]/C1145)</f>
        <v>-2.790180381581422E-3</v>
      </c>
      <c r="N1144" s="4">
        <v>0.88801757925829483</v>
      </c>
    </row>
    <row r="1145" spans="1:14" x14ac:dyDescent="0.25">
      <c r="A1145" s="1">
        <v>39251</v>
      </c>
      <c r="B1145" s="2">
        <v>32218.17</v>
      </c>
      <c r="C1145" s="2">
        <v>10.766999999999999</v>
      </c>
      <c r="D1145">
        <f>LN(Table1[[#This Row],[IPC_real]]/B1146)</f>
        <v>2.7724637687617615E-3</v>
      </c>
      <c r="E1145">
        <f>LN(Table1[[#This Row],[MXNUSD_real]]/C1146)</f>
        <v>2.7866796892054771E-4</v>
      </c>
      <c r="N1145" s="4">
        <v>0.88659856895970401</v>
      </c>
    </row>
    <row r="1146" spans="1:14" x14ac:dyDescent="0.25">
      <c r="A1146" s="1">
        <v>39248</v>
      </c>
      <c r="B1146" s="2">
        <v>32128.97</v>
      </c>
      <c r="C1146" s="2">
        <v>10.763999999999999</v>
      </c>
      <c r="D1146">
        <f>LN(Table1[[#This Row],[IPC_real]]/B1147)</f>
        <v>4.6324070696802846E-4</v>
      </c>
      <c r="E1146">
        <f>LN(Table1[[#This Row],[MXNUSD_real]]/C1147)</f>
        <v>-1.1270327147348899E-2</v>
      </c>
      <c r="N1146" s="4">
        <v>0.88761144438612405</v>
      </c>
    </row>
    <row r="1147" spans="1:14" x14ac:dyDescent="0.25">
      <c r="A1147" s="1">
        <v>39247</v>
      </c>
      <c r="B1147" s="2">
        <v>32114.09</v>
      </c>
      <c r="C1147" s="2">
        <v>10.885999999999999</v>
      </c>
      <c r="D1147">
        <f>LN(Table1[[#This Row],[IPC_real]]/B1148)</f>
        <v>7.1886762540930458E-3</v>
      </c>
      <c r="E1147">
        <f>LN(Table1[[#This Row],[MXNUSD_real]]/C1148)</f>
        <v>-4.3081784403395254E-3</v>
      </c>
      <c r="N1147" s="4">
        <v>0.88568607430297053</v>
      </c>
    </row>
    <row r="1148" spans="1:14" x14ac:dyDescent="0.25">
      <c r="A1148" s="1">
        <v>39246</v>
      </c>
      <c r="B1148" s="2">
        <v>31884.06</v>
      </c>
      <c r="C1148" s="2">
        <v>10.933</v>
      </c>
      <c r="D1148">
        <f>LN(Table1[[#This Row],[IPC_real]]/B1149)</f>
        <v>8.6772792901647425E-3</v>
      </c>
      <c r="E1148">
        <f>LN(Table1[[#This Row],[MXNUSD_real]]/C1149)</f>
        <v>2.744362639005663E-4</v>
      </c>
      <c r="N1148" s="4">
        <v>0.8879526164878998</v>
      </c>
    </row>
    <row r="1149" spans="1:14" x14ac:dyDescent="0.25">
      <c r="A1149" s="1">
        <v>39245</v>
      </c>
      <c r="B1149" s="2">
        <v>31608.59</v>
      </c>
      <c r="C1149" s="2">
        <v>10.93</v>
      </c>
      <c r="D1149">
        <f>LN(Table1[[#This Row],[IPC_real]]/B1150)</f>
        <v>-7.0883905029565991E-3</v>
      </c>
      <c r="E1149">
        <f>LN(Table1[[#This Row],[MXNUSD_real]]/C1150)</f>
        <v>2.8402602812726777E-3</v>
      </c>
      <c r="N1149" s="4">
        <v>0.88465387236733395</v>
      </c>
    </row>
    <row r="1150" spans="1:14" x14ac:dyDescent="0.25">
      <c r="A1150" s="1">
        <v>39244</v>
      </c>
      <c r="B1150" s="2">
        <v>31833.439999999999</v>
      </c>
      <c r="C1150" s="2">
        <v>10.898999999999999</v>
      </c>
      <c r="D1150">
        <f>LN(Table1[[#This Row],[IPC_real]]/B1151)</f>
        <v>1.1590643761268244E-2</v>
      </c>
      <c r="E1150">
        <f>LN(Table1[[#This Row],[MXNUSD_real]]/C1151)</f>
        <v>-2.1080618227875586E-3</v>
      </c>
      <c r="N1150" s="4">
        <v>0.88835875363000005</v>
      </c>
    </row>
    <row r="1151" spans="1:14" x14ac:dyDescent="0.25">
      <c r="A1151" s="1">
        <v>39241</v>
      </c>
      <c r="B1151" s="2">
        <v>31466.6</v>
      </c>
      <c r="C1151" s="2">
        <v>10.922000000000001</v>
      </c>
      <c r="D1151">
        <f>LN(Table1[[#This Row],[IPC_real]]/B1152)</f>
        <v>9.0058100090296082E-3</v>
      </c>
      <c r="E1151">
        <f>LN(Table1[[#This Row],[MXNUSD_real]]/C1152)</f>
        <v>-6.4070296457444315E-4</v>
      </c>
      <c r="N1151" s="4">
        <v>0.88723157001430042</v>
      </c>
    </row>
    <row r="1152" spans="1:14" x14ac:dyDescent="0.25">
      <c r="A1152" s="1">
        <v>39240</v>
      </c>
      <c r="B1152" s="2">
        <v>31184.49</v>
      </c>
      <c r="C1152" s="2">
        <v>10.929</v>
      </c>
      <c r="D1152">
        <f>LN(Table1[[#This Row],[IPC_real]]/B1153)</f>
        <v>-1.5820265130624261E-2</v>
      </c>
      <c r="E1152">
        <f>LN(Table1[[#This Row],[MXNUSD_real]]/C1153)</f>
        <v>5.7351445309166398E-3</v>
      </c>
      <c r="N1152" s="4">
        <v>0.89118518584194661</v>
      </c>
    </row>
    <row r="1153" spans="1:14" x14ac:dyDescent="0.25">
      <c r="A1153" s="1">
        <v>39239</v>
      </c>
      <c r="B1153" s="2">
        <v>31681.759999999998</v>
      </c>
      <c r="C1153" s="2">
        <v>10.8665</v>
      </c>
      <c r="D1153">
        <f>LN(Table1[[#This Row],[IPC_real]]/B1154)</f>
        <v>-1.8439648368135629E-2</v>
      </c>
      <c r="E1153">
        <f>LN(Table1[[#This Row],[MXNUSD_real]]/C1154)</f>
        <v>5.7682262332507386E-3</v>
      </c>
      <c r="N1153" s="4">
        <v>0.88889547233446375</v>
      </c>
    </row>
    <row r="1154" spans="1:14" x14ac:dyDescent="0.25">
      <c r="A1154" s="1">
        <v>39238</v>
      </c>
      <c r="B1154" s="2">
        <v>32271.38</v>
      </c>
      <c r="C1154" s="2">
        <v>10.804</v>
      </c>
      <c r="D1154">
        <f>LN(Table1[[#This Row],[IPC_real]]/B1155)</f>
        <v>5.4428146972570869E-3</v>
      </c>
      <c r="E1154">
        <f>LN(Table1[[#This Row],[MXNUSD_real]]/C1155)</f>
        <v>4.4526975237508641E-3</v>
      </c>
      <c r="N1154" s="4">
        <v>0.88723316356891457</v>
      </c>
    </row>
    <row r="1155" spans="1:14" x14ac:dyDescent="0.25">
      <c r="A1155" s="1">
        <v>39237</v>
      </c>
      <c r="B1155" s="2">
        <v>32096.21</v>
      </c>
      <c r="C1155" s="2">
        <v>10.756</v>
      </c>
      <c r="D1155">
        <f>LN(Table1[[#This Row],[IPC_real]]/B1156)</f>
        <v>4.678456210724268E-3</v>
      </c>
      <c r="E1155">
        <f>LN(Table1[[#This Row],[MXNUSD_real]]/C1156)</f>
        <v>3.725786724256018E-3</v>
      </c>
      <c r="N1155" s="4">
        <v>0.88624676076809605</v>
      </c>
    </row>
    <row r="1156" spans="1:14" x14ac:dyDescent="0.25">
      <c r="A1156" s="1">
        <v>39234</v>
      </c>
      <c r="B1156" s="2">
        <v>31946.400000000001</v>
      </c>
      <c r="C1156" s="2">
        <v>10.715999999999999</v>
      </c>
      <c r="D1156">
        <f>LN(Table1[[#This Row],[IPC_real]]/B1157)</f>
        <v>1.7284727072195815E-2</v>
      </c>
      <c r="E1156">
        <f>LN(Table1[[#This Row],[MXNUSD_real]]/C1157)</f>
        <v>-2.8886941766539352E-3</v>
      </c>
      <c r="N1156" s="4">
        <v>0.88811311145771255</v>
      </c>
    </row>
    <row r="1157" spans="1:14" x14ac:dyDescent="0.25">
      <c r="A1157" s="1">
        <v>39233</v>
      </c>
      <c r="B1157" s="2">
        <v>31398.959999999999</v>
      </c>
      <c r="C1157" s="2">
        <v>10.747</v>
      </c>
      <c r="D1157">
        <f>LN(Table1[[#This Row],[IPC_real]]/B1158)</f>
        <v>6.040240416997206E-4</v>
      </c>
      <c r="E1157">
        <f>LN(Table1[[#This Row],[MXNUSD_real]]/C1158)</f>
        <v>-3.6223510560189826E-3</v>
      </c>
      <c r="N1157" s="4">
        <v>0.88757522183573745</v>
      </c>
    </row>
    <row r="1158" spans="1:14" x14ac:dyDescent="0.25">
      <c r="A1158" s="1">
        <v>39232</v>
      </c>
      <c r="B1158" s="2">
        <v>31380</v>
      </c>
      <c r="C1158" s="2">
        <v>10.786</v>
      </c>
      <c r="D1158">
        <f>LN(Table1[[#This Row],[IPC_real]]/B1159)</f>
        <v>2.3057613092051385E-2</v>
      </c>
      <c r="E1158">
        <f>LN(Table1[[#This Row],[MXNUSD_real]]/C1159)</f>
        <v>-3.3783034189632986E-3</v>
      </c>
      <c r="N1158" s="4">
        <v>0.8850846431681052</v>
      </c>
    </row>
    <row r="1159" spans="1:14" x14ac:dyDescent="0.25">
      <c r="A1159" s="1">
        <v>39231</v>
      </c>
      <c r="B1159" s="2">
        <v>30664.73</v>
      </c>
      <c r="C1159" s="2">
        <v>10.8225</v>
      </c>
      <c r="D1159">
        <f>LN(Table1[[#This Row],[IPC_real]]/B1160)</f>
        <v>-8.5626914156731807E-3</v>
      </c>
      <c r="E1159">
        <f>LN(Table1[[#This Row],[MXNUSD_real]]/C1160)</f>
        <v>3.5637461640472116E-3</v>
      </c>
      <c r="N1159" s="4">
        <v>0.88507105707260803</v>
      </c>
    </row>
    <row r="1160" spans="1:14" x14ac:dyDescent="0.25">
      <c r="A1160" s="1">
        <v>39230</v>
      </c>
      <c r="B1160" s="2">
        <v>30928.43</v>
      </c>
      <c r="C1160" s="2">
        <v>10.784000000000001</v>
      </c>
      <c r="D1160">
        <f>LN(Table1[[#This Row],[IPC_real]]/B1161)</f>
        <v>7.4128453025108813E-3</v>
      </c>
      <c r="E1160">
        <f>LN(Table1[[#This Row],[MXNUSD_real]]/C1161)</f>
        <v>-6.4889921164537308E-4</v>
      </c>
      <c r="N1160" s="4">
        <v>0.88560597332189184</v>
      </c>
    </row>
    <row r="1161" spans="1:14" x14ac:dyDescent="0.25">
      <c r="A1161" s="1">
        <v>39227</v>
      </c>
      <c r="B1161" s="2">
        <v>30700.01</v>
      </c>
      <c r="C1161" s="2">
        <v>10.791</v>
      </c>
      <c r="D1161">
        <f>LN(Table1[[#This Row],[IPC_real]]/B1162)</f>
        <v>1.1842810401362499E-2</v>
      </c>
      <c r="E1161">
        <f>LN(Table1[[#This Row],[MXNUSD_real]]/C1162)</f>
        <v>-4.899478254822451E-3</v>
      </c>
      <c r="N1161" s="4">
        <v>0.88589686480261631</v>
      </c>
    </row>
    <row r="1162" spans="1:14" x14ac:dyDescent="0.25">
      <c r="A1162" s="1">
        <v>39226</v>
      </c>
      <c r="B1162" s="2">
        <v>30338.58</v>
      </c>
      <c r="C1162" s="2">
        <v>10.843999999999999</v>
      </c>
      <c r="D1162">
        <f>LN(Table1[[#This Row],[IPC_real]]/B1163)</f>
        <v>-1.735948555040991E-2</v>
      </c>
      <c r="E1162">
        <f>LN(Table1[[#This Row],[MXNUSD_real]]/C1163)</f>
        <v>4.158394385796447E-3</v>
      </c>
      <c r="N1162" s="4">
        <v>0.88839400046115491</v>
      </c>
    </row>
    <row r="1163" spans="1:14" x14ac:dyDescent="0.25">
      <c r="A1163" s="1">
        <v>39225</v>
      </c>
      <c r="B1163" s="2">
        <v>30869.84</v>
      </c>
      <c r="C1163" s="2">
        <v>10.798999999999999</v>
      </c>
      <c r="D1163">
        <f>LN(Table1[[#This Row],[IPC_real]]/B1164)</f>
        <v>2.1919162156276979E-3</v>
      </c>
      <c r="E1163">
        <f>LN(Table1[[#This Row],[MXNUSD_real]]/C1164)</f>
        <v>2.3177129922807229E-3</v>
      </c>
      <c r="N1163" s="4">
        <v>0.88865467624364702</v>
      </c>
    </row>
    <row r="1164" spans="1:14" x14ac:dyDescent="0.25">
      <c r="A1164" s="1">
        <v>39224</v>
      </c>
      <c r="B1164" s="2">
        <v>30802.25</v>
      </c>
      <c r="C1164" s="2">
        <v>10.773999999999999</v>
      </c>
      <c r="D1164">
        <f>LN(Table1[[#This Row],[IPC_real]]/B1165)</f>
        <v>3.0407602694311666E-3</v>
      </c>
      <c r="E1164">
        <f>LN(Table1[[#This Row],[MXNUSD_real]]/C1165)</f>
        <v>4.6409096191147836E-5</v>
      </c>
      <c r="N1164" s="4">
        <v>0.88856831856891838</v>
      </c>
    </row>
    <row r="1165" spans="1:14" x14ac:dyDescent="0.25">
      <c r="A1165" s="1">
        <v>39223</v>
      </c>
      <c r="B1165" s="2">
        <v>30708.73</v>
      </c>
      <c r="C1165" s="2">
        <v>10.7735</v>
      </c>
      <c r="D1165">
        <f>LN(Table1[[#This Row],[IPC_real]]/B1166)</f>
        <v>1.0553055655382251E-3</v>
      </c>
      <c r="E1165">
        <f>LN(Table1[[#This Row],[MXNUSD_real]]/C1166)</f>
        <v>-2.3178204331794016E-3</v>
      </c>
      <c r="N1165" s="4">
        <v>0.88596125763389288</v>
      </c>
    </row>
    <row r="1166" spans="1:14" x14ac:dyDescent="0.25">
      <c r="A1166" s="1">
        <v>39220</v>
      </c>
      <c r="B1166" s="2">
        <v>30676.34</v>
      </c>
      <c r="C1166" s="2">
        <v>10.798500000000001</v>
      </c>
      <c r="D1166">
        <f>LN(Table1[[#This Row],[IPC_real]]/B1167)</f>
        <v>6.4744217262734651E-3</v>
      </c>
      <c r="E1166">
        <f>LN(Table1[[#This Row],[MXNUSD_real]]/C1167)</f>
        <v>4.6303799234981894E-5</v>
      </c>
      <c r="N1166" s="4">
        <v>0.88757826242995663</v>
      </c>
    </row>
    <row r="1167" spans="1:14" x14ac:dyDescent="0.25">
      <c r="A1167" s="1">
        <v>39219</v>
      </c>
      <c r="B1167" s="2">
        <v>30478.37</v>
      </c>
      <c r="C1167" s="2">
        <v>10.798</v>
      </c>
      <c r="D1167">
        <f>LN(Table1[[#This Row],[IPC_real]]/B1168)</f>
        <v>4.5090788901520715E-3</v>
      </c>
      <c r="E1167">
        <f>LN(Table1[[#This Row],[MXNUSD_real]]/C1168)</f>
        <v>1.3901118961599387E-3</v>
      </c>
      <c r="N1167" s="4">
        <v>0.88910085212690038</v>
      </c>
    </row>
    <row r="1168" spans="1:14" x14ac:dyDescent="0.25">
      <c r="A1168" s="1">
        <v>39218</v>
      </c>
      <c r="B1168" s="2">
        <v>30341.25</v>
      </c>
      <c r="C1168" s="2">
        <v>10.782999999999999</v>
      </c>
      <c r="D1168">
        <f>LN(Table1[[#This Row],[IPC_real]]/B1169)</f>
        <v>2.4061402460493982E-2</v>
      </c>
      <c r="E1168">
        <f>LN(Table1[[#This Row],[MXNUSD_real]]/C1169)</f>
        <v>-1.0659252544413765E-3</v>
      </c>
      <c r="N1168" s="4">
        <v>0.88572414595246374</v>
      </c>
    </row>
    <row r="1169" spans="1:14" x14ac:dyDescent="0.25">
      <c r="A1169" s="1">
        <v>39217</v>
      </c>
      <c r="B1169" s="2">
        <v>29619.91</v>
      </c>
      <c r="C1169" s="2">
        <v>10.794499999999999</v>
      </c>
      <c r="D1169">
        <f>LN(Table1[[#This Row],[IPC_real]]/B1170)</f>
        <v>-4.9311186124854772E-3</v>
      </c>
      <c r="E1169">
        <f>LN(Table1[[#This Row],[MXNUSD_real]]/C1170)</f>
        <v>-1.4811388960916387E-3</v>
      </c>
      <c r="N1169" s="4">
        <v>0.88645094307939853</v>
      </c>
    </row>
    <row r="1170" spans="1:14" x14ac:dyDescent="0.25">
      <c r="A1170" s="1">
        <v>39216</v>
      </c>
      <c r="B1170" s="2">
        <v>29766.33</v>
      </c>
      <c r="C1170" s="2">
        <v>10.810499999999999</v>
      </c>
      <c r="D1170">
        <f>LN(Table1[[#This Row],[IPC_real]]/B1171)</f>
        <v>-9.7759110005298886E-3</v>
      </c>
      <c r="E1170">
        <f>LN(Table1[[#This Row],[MXNUSD_real]]/C1171)</f>
        <v>9.2506938086208727E-5</v>
      </c>
      <c r="N1170" s="4">
        <v>0.88731887146990707</v>
      </c>
    </row>
    <row r="1171" spans="1:14" x14ac:dyDescent="0.25">
      <c r="A1171" s="1">
        <v>39213</v>
      </c>
      <c r="B1171" s="2">
        <v>30058.75</v>
      </c>
      <c r="C1171" s="2">
        <v>10.8095</v>
      </c>
      <c r="D1171">
        <f>LN(Table1[[#This Row],[IPC_real]]/B1172)</f>
        <v>1.3562846390550555E-2</v>
      </c>
      <c r="E1171">
        <f>LN(Table1[[#This Row],[MXNUSD_real]]/C1172)</f>
        <v>-2.5869649942782363E-3</v>
      </c>
      <c r="N1171" s="4">
        <v>0.88818894525028746</v>
      </c>
    </row>
    <row r="1172" spans="1:14" x14ac:dyDescent="0.25">
      <c r="A1172" s="1">
        <v>39212</v>
      </c>
      <c r="B1172" s="2">
        <v>29653.82</v>
      </c>
      <c r="C1172" s="2">
        <v>10.8375</v>
      </c>
      <c r="D1172">
        <f>LN(Table1[[#This Row],[IPC_real]]/B1173)</f>
        <v>-1.1367399527111089E-2</v>
      </c>
      <c r="E1172">
        <f>LN(Table1[[#This Row],[MXNUSD_real]]/C1173)</f>
        <v>2.0782827016381489E-3</v>
      </c>
      <c r="N1172" s="4">
        <v>0.88731891097437998</v>
      </c>
    </row>
    <row r="1173" spans="1:14" x14ac:dyDescent="0.25">
      <c r="A1173" s="1">
        <v>39211</v>
      </c>
      <c r="B1173" s="2">
        <v>29992.83</v>
      </c>
      <c r="C1173" s="2">
        <v>10.815</v>
      </c>
      <c r="D1173">
        <f>LN(Table1[[#This Row],[IPC_real]]/B1174)</f>
        <v>1.4116859185059619E-2</v>
      </c>
      <c r="E1173">
        <f>LN(Table1[[#This Row],[MXNUSD_real]]/C1174)</f>
        <v>-2.4934214331244395E-3</v>
      </c>
      <c r="N1173" s="4">
        <v>0.88680923514311294</v>
      </c>
    </row>
    <row r="1174" spans="1:14" x14ac:dyDescent="0.25">
      <c r="A1174" s="1">
        <v>39210</v>
      </c>
      <c r="B1174" s="2">
        <v>29572.400000000001</v>
      </c>
      <c r="C1174" s="2">
        <v>10.842000000000001</v>
      </c>
      <c r="D1174">
        <f>LN(Table1[[#This Row],[IPC_real]]/B1175)</f>
        <v>-6.8803487385334303E-3</v>
      </c>
      <c r="E1174">
        <f>LN(Table1[[#This Row],[MXNUSD_real]]/C1175)</f>
        <v>-9.2229651898359893E-5</v>
      </c>
      <c r="N1174" s="4">
        <v>0.88773243163791349</v>
      </c>
    </row>
    <row r="1175" spans="1:14" x14ac:dyDescent="0.25">
      <c r="A1175" s="1">
        <v>39209</v>
      </c>
      <c r="B1175" s="2">
        <v>29776.57</v>
      </c>
      <c r="C1175" s="2">
        <v>10.843</v>
      </c>
      <c r="D1175">
        <f>LN(Table1[[#This Row],[IPC_real]]/B1176)</f>
        <v>-7.9370991429764948E-3</v>
      </c>
      <c r="E1175">
        <f>LN(Table1[[#This Row],[MXNUSD_real]]/C1176)</f>
        <v>-4.4629580162292883E-3</v>
      </c>
      <c r="N1175" s="4">
        <v>0.88788488734996329</v>
      </c>
    </row>
    <row r="1176" spans="1:14" x14ac:dyDescent="0.25">
      <c r="A1176" s="1">
        <v>39206</v>
      </c>
      <c r="B1176" s="2">
        <v>30013.85</v>
      </c>
      <c r="C1176" s="2">
        <v>10.891500000000001</v>
      </c>
      <c r="D1176">
        <f>LN(Table1[[#This Row],[IPC_real]]/B1177)</f>
        <v>8.730655054044547E-3</v>
      </c>
      <c r="E1176">
        <f>LN(Table1[[#This Row],[MXNUSD_real]]/C1177)</f>
        <v>-1.513796477067952E-3</v>
      </c>
      <c r="N1176" s="4">
        <v>0.88730157036300183</v>
      </c>
    </row>
    <row r="1177" spans="1:14" x14ac:dyDescent="0.25">
      <c r="A1177" s="1">
        <v>39205</v>
      </c>
      <c r="B1177" s="2">
        <v>29752.95</v>
      </c>
      <c r="C1177" s="2">
        <v>10.907999999999999</v>
      </c>
      <c r="D1177">
        <f>LN(Table1[[#This Row],[IPC_real]]/B1178)</f>
        <v>1.6709625259266503E-2</v>
      </c>
      <c r="E1177">
        <f>LN(Table1[[#This Row],[MXNUSD_real]]/C1178)</f>
        <v>-8.2474231479038359E-4</v>
      </c>
      <c r="N1177" s="4">
        <v>0.88828586320024017</v>
      </c>
    </row>
    <row r="1178" spans="1:14" x14ac:dyDescent="0.25">
      <c r="A1178" s="1">
        <v>39204</v>
      </c>
      <c r="B1178" s="2">
        <v>29259.919999999998</v>
      </c>
      <c r="C1178" s="2">
        <v>10.917</v>
      </c>
      <c r="D1178">
        <f>LN(Table1[[#This Row],[IPC_real]]/B1179)</f>
        <v>9.0362862053737763E-3</v>
      </c>
      <c r="E1178">
        <f>LN(Table1[[#This Row],[MXNUSD_real]]/C1179)</f>
        <v>-5.4945056327363828E-4</v>
      </c>
      <c r="N1178" s="4">
        <v>0.88654393351044547</v>
      </c>
    </row>
    <row r="1179" spans="1:14" x14ac:dyDescent="0.25">
      <c r="A1179" s="1">
        <v>39202</v>
      </c>
      <c r="B1179" s="2">
        <v>28996.71</v>
      </c>
      <c r="C1179" s="2">
        <v>10.923</v>
      </c>
      <c r="D1179">
        <f>LN(Table1[[#This Row],[IPC_real]]/B1180)</f>
        <v>-1.2891126621354925E-2</v>
      </c>
      <c r="E1179">
        <f>LN(Table1[[#This Row],[MXNUSD_real]]/C1180)</f>
        <v>9.159187304533966E-4</v>
      </c>
      <c r="N1179" s="4">
        <v>0.88825222760562805</v>
      </c>
    </row>
    <row r="1180" spans="1:14" x14ac:dyDescent="0.25">
      <c r="A1180" s="1">
        <v>39199</v>
      </c>
      <c r="B1180" s="2">
        <v>29372.93</v>
      </c>
      <c r="C1180" s="2">
        <v>10.913</v>
      </c>
      <c r="D1180">
        <f>LN(Table1[[#This Row],[IPC_real]]/B1181)</f>
        <v>1.0297088755097184E-3</v>
      </c>
      <c r="E1180">
        <f>LN(Table1[[#This Row],[MXNUSD_real]]/C1181)</f>
        <v>-9.616926530575837E-4</v>
      </c>
      <c r="N1180" s="4">
        <v>0.887370826391219</v>
      </c>
    </row>
    <row r="1181" spans="1:14" x14ac:dyDescent="0.25">
      <c r="A1181" s="1">
        <v>39198</v>
      </c>
      <c r="B1181" s="2">
        <v>29342.7</v>
      </c>
      <c r="C1181" s="2">
        <v>10.923500000000001</v>
      </c>
      <c r="D1181">
        <f>LN(Table1[[#This Row],[IPC_real]]/B1182)</f>
        <v>-3.4514555792877497E-3</v>
      </c>
      <c r="E1181">
        <f>LN(Table1[[#This Row],[MXNUSD_real]]/C1182)</f>
        <v>-8.6930666833724083E-4</v>
      </c>
      <c r="N1181" s="4">
        <v>0.88894943175503338</v>
      </c>
    </row>
    <row r="1182" spans="1:14" x14ac:dyDescent="0.25">
      <c r="A1182" s="1">
        <v>39197</v>
      </c>
      <c r="B1182" s="2">
        <v>29444.15</v>
      </c>
      <c r="C1182" s="2">
        <v>10.933</v>
      </c>
      <c r="D1182">
        <f>LN(Table1[[#This Row],[IPC_real]]/B1183)</f>
        <v>-3.3915215393357711E-3</v>
      </c>
      <c r="E1182">
        <f>LN(Table1[[#This Row],[MXNUSD_real]]/C1183)</f>
        <v>-5.9731614112931899E-3</v>
      </c>
      <c r="N1182" s="4">
        <v>0.88789683429654032</v>
      </c>
    </row>
    <row r="1183" spans="1:14" x14ac:dyDescent="0.25">
      <c r="A1183" s="1">
        <v>39196</v>
      </c>
      <c r="B1183" s="2">
        <v>29544.18</v>
      </c>
      <c r="C1183" s="2">
        <v>10.9985</v>
      </c>
      <c r="D1183">
        <f>LN(Table1[[#This Row],[IPC_real]]/B1184)</f>
        <v>-1.6797993331733468E-3</v>
      </c>
      <c r="E1183">
        <f>LN(Table1[[#This Row],[MXNUSD_real]]/C1184)</f>
        <v>1.7745426110457516E-3</v>
      </c>
      <c r="N1183" s="4">
        <v>0.88764339765631106</v>
      </c>
    </row>
    <row r="1184" spans="1:14" x14ac:dyDescent="0.25">
      <c r="A1184" s="1">
        <v>39195</v>
      </c>
      <c r="B1184" s="2">
        <v>29593.85</v>
      </c>
      <c r="C1184" s="2">
        <v>10.978999999999999</v>
      </c>
      <c r="D1184">
        <f>LN(Table1[[#This Row],[IPC_real]]/B1185)</f>
        <v>-8.0311633791494662E-3</v>
      </c>
      <c r="E1184">
        <f>LN(Table1[[#This Row],[MXNUSD_real]]/C1185)</f>
        <v>-4.0978941950811198E-4</v>
      </c>
      <c r="N1184" s="4">
        <v>0.88754134207538793</v>
      </c>
    </row>
    <row r="1185" spans="1:14" x14ac:dyDescent="0.25">
      <c r="A1185" s="1">
        <v>39192</v>
      </c>
      <c r="B1185" s="2">
        <v>29832.48</v>
      </c>
      <c r="C1185" s="2">
        <v>10.983499999999999</v>
      </c>
      <c r="D1185">
        <f>LN(Table1[[#This Row],[IPC_real]]/B1186)</f>
        <v>7.3488219759332476E-3</v>
      </c>
      <c r="E1185">
        <f>LN(Table1[[#This Row],[MXNUSD_real]]/C1186)</f>
        <v>-9.5552276636529348E-4</v>
      </c>
      <c r="N1185" s="4">
        <v>0.88699034841393509</v>
      </c>
    </row>
    <row r="1186" spans="1:14" x14ac:dyDescent="0.25">
      <c r="A1186" s="1">
        <v>39191</v>
      </c>
      <c r="B1186" s="2">
        <v>29614.05</v>
      </c>
      <c r="C1186" s="2">
        <v>10.994</v>
      </c>
      <c r="D1186">
        <f>LN(Table1[[#This Row],[IPC_real]]/B1187)</f>
        <v>1.8430530872422639E-3</v>
      </c>
      <c r="E1186">
        <f>LN(Table1[[#This Row],[MXNUSD_real]]/C1187)</f>
        <v>6.3691371972476689E-4</v>
      </c>
      <c r="N1186" s="4">
        <v>0.88769399675326399</v>
      </c>
    </row>
    <row r="1187" spans="1:14" x14ac:dyDescent="0.25">
      <c r="A1187" s="1">
        <v>39190</v>
      </c>
      <c r="B1187" s="2">
        <v>29559.52</v>
      </c>
      <c r="C1187" s="2">
        <v>10.987</v>
      </c>
      <c r="D1187">
        <f>LN(Table1[[#This Row],[IPC_real]]/B1188)</f>
        <v>-1.3343813377519043E-3</v>
      </c>
      <c r="E1187">
        <f>LN(Table1[[#This Row],[MXNUSD_real]]/C1188)</f>
        <v>-6.823920379443164E-4</v>
      </c>
      <c r="N1187" s="4">
        <v>0.88765987531512047</v>
      </c>
    </row>
    <row r="1188" spans="1:14" x14ac:dyDescent="0.25">
      <c r="A1188" s="1">
        <v>39189</v>
      </c>
      <c r="B1188" s="2">
        <v>29598.99</v>
      </c>
      <c r="C1188" s="2">
        <v>10.9945</v>
      </c>
      <c r="D1188">
        <f>LN(Table1[[#This Row],[IPC_real]]/B1189)</f>
        <v>-4.0348922236735849E-3</v>
      </c>
      <c r="E1188">
        <f>LN(Table1[[#This Row],[MXNUSD_real]]/C1189)</f>
        <v>6.5508741390463143E-4</v>
      </c>
      <c r="N1188" s="4">
        <v>0.88946853789254898</v>
      </c>
    </row>
    <row r="1189" spans="1:14" x14ac:dyDescent="0.25">
      <c r="A1189" s="1">
        <v>39188</v>
      </c>
      <c r="B1189" s="2">
        <v>29718.66</v>
      </c>
      <c r="C1189" s="2">
        <v>10.987299999999999</v>
      </c>
      <c r="D1189">
        <f>LN(Table1[[#This Row],[IPC_real]]/B1190)</f>
        <v>-1.4646726069727271E-3</v>
      </c>
      <c r="E1189">
        <f>LN(Table1[[#This Row],[MXNUSD_real]]/C1190)</f>
        <v>-2.9120294320765549E-4</v>
      </c>
      <c r="N1189" s="4">
        <v>0.88666139066035388</v>
      </c>
    </row>
    <row r="1190" spans="1:14" x14ac:dyDescent="0.25">
      <c r="A1190" s="1">
        <v>39185</v>
      </c>
      <c r="B1190" s="2">
        <v>29762.22</v>
      </c>
      <c r="C1190" s="2">
        <v>10.990500000000001</v>
      </c>
      <c r="D1190">
        <f>LN(Table1[[#This Row],[IPC_real]]/B1191)</f>
        <v>5.2299973733052254E-3</v>
      </c>
      <c r="E1190">
        <f>LN(Table1[[#This Row],[MXNUSD_real]]/C1191)</f>
        <v>-8.6400951237927117E-4</v>
      </c>
      <c r="N1190" s="4">
        <v>0.88748939157554663</v>
      </c>
    </row>
    <row r="1191" spans="1:14" x14ac:dyDescent="0.25">
      <c r="A1191" s="1">
        <v>39184</v>
      </c>
      <c r="B1191" s="2">
        <v>29606.97</v>
      </c>
      <c r="C1191" s="2">
        <v>11</v>
      </c>
      <c r="D1191">
        <f>LN(Table1[[#This Row],[IPC_real]]/B1192)</f>
        <v>1.1147809658596101E-2</v>
      </c>
      <c r="E1191">
        <f>LN(Table1[[#This Row],[MXNUSD_real]]/C1192)</f>
        <v>-8.1784728989554368E-4</v>
      </c>
      <c r="N1191" s="4">
        <v>0.88769171960205417</v>
      </c>
    </row>
    <row r="1192" spans="1:14" x14ac:dyDescent="0.25">
      <c r="A1192" s="1">
        <v>39183</v>
      </c>
      <c r="B1192" s="2">
        <v>29278.75</v>
      </c>
      <c r="C1192" s="2">
        <v>11.009</v>
      </c>
      <c r="D1192">
        <f>LN(Table1[[#This Row],[IPC_real]]/B1193)</f>
        <v>-8.0582954221256504E-3</v>
      </c>
      <c r="E1192">
        <f>LN(Table1[[#This Row],[MXNUSD_real]]/C1193)</f>
        <v>9.0876051328643494E-4</v>
      </c>
      <c r="N1192" s="4">
        <v>0.88709626716002932</v>
      </c>
    </row>
    <row r="1193" spans="1:14" x14ac:dyDescent="0.25">
      <c r="A1193" s="1">
        <v>39182</v>
      </c>
      <c r="B1193" s="2">
        <v>29515.64</v>
      </c>
      <c r="C1193" s="2">
        <v>10.999000000000001</v>
      </c>
      <c r="D1193">
        <f>LN(Table1[[#This Row],[IPC_real]]/B1194)</f>
        <v>-3.9413155539264116E-3</v>
      </c>
      <c r="E1193">
        <f>LN(Table1[[#This Row],[MXNUSD_real]]/C1194)</f>
        <v>2.7768311913743734E-3</v>
      </c>
      <c r="N1193" s="4">
        <v>0.88759068316714329</v>
      </c>
    </row>
    <row r="1194" spans="1:14" x14ac:dyDescent="0.25">
      <c r="A1194" s="1">
        <v>39181</v>
      </c>
      <c r="B1194" s="2">
        <v>29632.2</v>
      </c>
      <c r="C1194" s="2">
        <v>10.968500000000001</v>
      </c>
      <c r="D1194">
        <f>LN(Table1[[#This Row],[IPC_real]]/B1195)</f>
        <v>8.8558577549335653E-3</v>
      </c>
      <c r="E1194">
        <f>LN(Table1[[#This Row],[MXNUSD_real]]/C1195)</f>
        <v>-3.7764223509834252E-3</v>
      </c>
      <c r="N1194" s="4">
        <v>0.88708938238426249</v>
      </c>
    </row>
    <row r="1195" spans="1:14" x14ac:dyDescent="0.25">
      <c r="A1195" s="1">
        <v>39176</v>
      </c>
      <c r="B1195" s="2">
        <v>29370.94</v>
      </c>
      <c r="C1195" s="2">
        <v>11.01</v>
      </c>
      <c r="D1195">
        <f>LN(Table1[[#This Row],[IPC_real]]/B1196)</f>
        <v>7.7828265056146043E-4</v>
      </c>
      <c r="E1195">
        <f>LN(Table1[[#This Row],[MXNUSD_real]]/C1196)</f>
        <v>2.8195934819932543E-3</v>
      </c>
      <c r="N1195" s="4">
        <v>0.88744518740726297</v>
      </c>
    </row>
    <row r="1196" spans="1:14" x14ac:dyDescent="0.25">
      <c r="A1196" s="1">
        <v>39175</v>
      </c>
      <c r="B1196" s="2">
        <v>29348.09</v>
      </c>
      <c r="C1196" s="2">
        <v>10.978999999999999</v>
      </c>
      <c r="D1196">
        <f>LN(Table1[[#This Row],[IPC_real]]/B1197)</f>
        <v>6.0345766430249395E-3</v>
      </c>
      <c r="E1196">
        <f>LN(Table1[[#This Row],[MXNUSD_real]]/C1197)</f>
        <v>-3.9089182084483948E-3</v>
      </c>
      <c r="N1196" s="4">
        <v>0.88765791732210364</v>
      </c>
    </row>
    <row r="1197" spans="1:14" x14ac:dyDescent="0.25">
      <c r="A1197" s="1">
        <v>39174</v>
      </c>
      <c r="B1197" s="2">
        <v>29171.52</v>
      </c>
      <c r="C1197" s="2">
        <v>11.022</v>
      </c>
      <c r="D1197">
        <f>LN(Table1[[#This Row],[IPC_real]]/B1198)</f>
        <v>1.4635474663301824E-2</v>
      </c>
      <c r="E1197">
        <f>LN(Table1[[#This Row],[MXNUSD_real]]/C1198)</f>
        <v>-1.9034676039500467E-3</v>
      </c>
      <c r="N1197" s="4">
        <v>0.88764084714930203</v>
      </c>
    </row>
    <row r="1198" spans="1:14" x14ac:dyDescent="0.25">
      <c r="A1198" s="1">
        <v>39171</v>
      </c>
      <c r="B1198" s="2">
        <v>28747.69</v>
      </c>
      <c r="C1198" s="2">
        <v>11.042999999999999</v>
      </c>
      <c r="D1198">
        <f>LN(Table1[[#This Row],[IPC_real]]/B1199)</f>
        <v>1.5125691437684885E-3</v>
      </c>
      <c r="E1198">
        <f>LN(Table1[[#This Row],[MXNUSD_real]]/C1199)</f>
        <v>2.1756875593536666E-3</v>
      </c>
      <c r="N1198" s="4">
        <v>0.88699307184956333</v>
      </c>
    </row>
    <row r="1199" spans="1:14" x14ac:dyDescent="0.25">
      <c r="A1199" s="1">
        <v>39170</v>
      </c>
      <c r="B1199" s="2">
        <v>28704.240000000002</v>
      </c>
      <c r="C1199" s="2">
        <v>11.019</v>
      </c>
      <c r="D1199">
        <f>LN(Table1[[#This Row],[IPC_real]]/B1200)</f>
        <v>2.1336482543563563E-2</v>
      </c>
      <c r="E1199">
        <f>LN(Table1[[#This Row],[MXNUSD_real]]/C1200)</f>
        <v>-4.5725230765026083E-3</v>
      </c>
      <c r="N1199" s="4">
        <v>0.88627163575277845</v>
      </c>
    </row>
    <row r="1200" spans="1:14" x14ac:dyDescent="0.25">
      <c r="A1200" s="1">
        <v>39169</v>
      </c>
      <c r="B1200" s="2">
        <v>28098.28</v>
      </c>
      <c r="C1200" s="2">
        <v>11.0695</v>
      </c>
      <c r="D1200">
        <f>LN(Table1[[#This Row],[IPC_real]]/B1201)</f>
        <v>-9.2667351672752864E-4</v>
      </c>
      <c r="E1200">
        <f>LN(Table1[[#This Row],[MXNUSD_real]]/C1201)</f>
        <v>2.0799428731967055E-3</v>
      </c>
      <c r="N1200" s="4">
        <v>0.88870901344961695</v>
      </c>
    </row>
    <row r="1201" spans="1:14" x14ac:dyDescent="0.25">
      <c r="A1201" s="1">
        <v>39168</v>
      </c>
      <c r="B1201" s="2">
        <v>28124.33</v>
      </c>
      <c r="C1201" s="2">
        <v>11.0465</v>
      </c>
      <c r="D1201">
        <f>LN(Table1[[#This Row],[IPC_real]]/B1202)</f>
        <v>-1.2309158977438772E-3</v>
      </c>
      <c r="E1201">
        <f>LN(Table1[[#This Row],[MXNUSD_real]]/C1202)</f>
        <v>1.9482143760361052E-3</v>
      </c>
      <c r="N1201" s="4">
        <v>0.88625486841433287</v>
      </c>
    </row>
    <row r="1202" spans="1:14" x14ac:dyDescent="0.25">
      <c r="A1202" s="1">
        <v>39167</v>
      </c>
      <c r="B1202" s="2">
        <v>28158.97</v>
      </c>
      <c r="C1202" s="2">
        <v>11.025</v>
      </c>
      <c r="D1202">
        <f>LN(Table1[[#This Row],[IPC_real]]/B1203)</f>
        <v>-4.0070227809685501E-3</v>
      </c>
      <c r="E1202">
        <f>LN(Table1[[#This Row],[MXNUSD_real]]/C1203)</f>
        <v>1.0890281501026984E-3</v>
      </c>
      <c r="N1202" s="4">
        <v>0.8887556291210077</v>
      </c>
    </row>
    <row r="1203" spans="1:14" x14ac:dyDescent="0.25">
      <c r="A1203" s="1">
        <v>39164</v>
      </c>
      <c r="B1203" s="2">
        <v>28272.03</v>
      </c>
      <c r="C1203" s="2">
        <v>11.013</v>
      </c>
      <c r="D1203">
        <f>LN(Table1[[#This Row],[IPC_real]]/B1204)</f>
        <v>4.6806318752227229E-4</v>
      </c>
      <c r="E1203">
        <f>LN(Table1[[#This Row],[MXNUSD_real]]/C1204)</f>
        <v>-2.7236824354675171E-4</v>
      </c>
      <c r="N1203" s="4">
        <v>0.88803889072050146</v>
      </c>
    </row>
    <row r="1204" spans="1:14" x14ac:dyDescent="0.25">
      <c r="A1204" s="1">
        <v>39163</v>
      </c>
      <c r="B1204" s="2">
        <v>28258.799999999999</v>
      </c>
      <c r="C1204" s="2">
        <v>11.016</v>
      </c>
      <c r="D1204">
        <f>LN(Table1[[#This Row],[IPC_real]]/B1205)</f>
        <v>1.3899133497627615E-3</v>
      </c>
      <c r="E1204">
        <f>LN(Table1[[#This Row],[MXNUSD_real]]/C1205)</f>
        <v>-1.2700718390573199E-3</v>
      </c>
      <c r="N1204" s="4">
        <v>0.88650614602279687</v>
      </c>
    </row>
    <row r="1205" spans="1:14" x14ac:dyDescent="0.25">
      <c r="A1205" s="1">
        <v>39162</v>
      </c>
      <c r="B1205" s="2">
        <v>28219.55</v>
      </c>
      <c r="C1205" s="2">
        <v>11.03</v>
      </c>
      <c r="D1205">
        <f>LN(Table1[[#This Row],[IPC_real]]/B1206)</f>
        <v>2.9199761049071692E-2</v>
      </c>
      <c r="E1205">
        <f>LN(Table1[[#This Row],[MXNUSD_real]]/C1206)</f>
        <v>-7.8566349860669533E-3</v>
      </c>
      <c r="N1205" s="4">
        <v>0.88898754312169248</v>
      </c>
    </row>
    <row r="1206" spans="1:14" x14ac:dyDescent="0.25">
      <c r="A1206" s="1">
        <v>39161</v>
      </c>
      <c r="B1206" s="2">
        <v>27407.46</v>
      </c>
      <c r="C1206" s="2">
        <v>11.117000000000001</v>
      </c>
      <c r="D1206">
        <f>LN(Table1[[#This Row],[IPC_real]]/B1207)</f>
        <v>1.8636165792324515E-2</v>
      </c>
      <c r="E1206">
        <f>LN(Table1[[#This Row],[MXNUSD_real]]/C1207)</f>
        <v>-6.8131146556524771E-3</v>
      </c>
      <c r="N1206" s="4">
        <v>0.88654328995089471</v>
      </c>
    </row>
    <row r="1207" spans="1:14" x14ac:dyDescent="0.25">
      <c r="A1207" s="1">
        <v>39157</v>
      </c>
      <c r="B1207" s="2">
        <v>26901.42</v>
      </c>
      <c r="C1207" s="2">
        <v>11.193</v>
      </c>
      <c r="D1207">
        <f>LN(Table1[[#This Row],[IPC_real]]/B1208)</f>
        <v>6.6524188122368268E-4</v>
      </c>
      <c r="E1207">
        <f>LN(Table1[[#This Row],[MXNUSD_real]]/C1208)</f>
        <v>4.1181794996439352E-3</v>
      </c>
      <c r="N1207" s="4">
        <v>0.88659430106914883</v>
      </c>
    </row>
    <row r="1208" spans="1:14" x14ac:dyDescent="0.25">
      <c r="A1208" s="1">
        <v>39156</v>
      </c>
      <c r="B1208" s="2">
        <v>26883.53</v>
      </c>
      <c r="C1208" s="2">
        <v>11.147</v>
      </c>
      <c r="D1208">
        <f>LN(Table1[[#This Row],[IPC_real]]/B1209)</f>
        <v>6.1269321946012308E-3</v>
      </c>
      <c r="E1208">
        <f>LN(Table1[[#This Row],[MXNUSD_real]]/C1209)</f>
        <v>0</v>
      </c>
      <c r="N1208" s="4">
        <v>0.88692439103016596</v>
      </c>
    </row>
    <row r="1209" spans="1:14" x14ac:dyDescent="0.25">
      <c r="A1209" s="1">
        <v>39155</v>
      </c>
      <c r="B1209" s="2">
        <v>26719.32</v>
      </c>
      <c r="C1209" s="2">
        <v>11.147</v>
      </c>
      <c r="D1209">
        <f>LN(Table1[[#This Row],[IPC_real]]/B1210)</f>
        <v>4.8817809391776754E-3</v>
      </c>
      <c r="E1209">
        <f>LN(Table1[[#This Row],[MXNUSD_real]]/C1210)</f>
        <v>-3.9394804284037539E-3</v>
      </c>
      <c r="N1209" s="4">
        <v>0.88743815874563592</v>
      </c>
    </row>
    <row r="1210" spans="1:14" x14ac:dyDescent="0.25">
      <c r="A1210" s="1">
        <v>39154</v>
      </c>
      <c r="B1210" s="2">
        <v>26589.200000000001</v>
      </c>
      <c r="C1210" s="2">
        <v>11.191000000000001</v>
      </c>
      <c r="D1210">
        <f>LN(Table1[[#This Row],[IPC_real]]/B1211)</f>
        <v>-2.4958227073058451E-2</v>
      </c>
      <c r="E1210">
        <f>LN(Table1[[#This Row],[MXNUSD_real]]/C1211)</f>
        <v>5.7802334118564795E-3</v>
      </c>
      <c r="N1210" s="4">
        <v>0.88780751889872933</v>
      </c>
    </row>
    <row r="1211" spans="1:14" x14ac:dyDescent="0.25">
      <c r="A1211" s="1">
        <v>39153</v>
      </c>
      <c r="B1211" s="2">
        <v>27261.17</v>
      </c>
      <c r="C1211" s="2">
        <v>11.1265</v>
      </c>
      <c r="D1211">
        <f>LN(Table1[[#This Row],[IPC_real]]/B1212)</f>
        <v>5.6886871075020945E-3</v>
      </c>
      <c r="E1211">
        <f>LN(Table1[[#This Row],[MXNUSD_real]]/C1212)</f>
        <v>-1.5267178537999079E-3</v>
      </c>
      <c r="N1211" s="4">
        <v>0.89009733926154078</v>
      </c>
    </row>
    <row r="1212" spans="1:14" x14ac:dyDescent="0.25">
      <c r="A1212" s="1">
        <v>39150</v>
      </c>
      <c r="B1212" s="2">
        <v>27106.53</v>
      </c>
      <c r="C1212" s="2">
        <v>11.1435</v>
      </c>
      <c r="D1212">
        <f>LN(Table1[[#This Row],[IPC_real]]/B1213)</f>
        <v>1.2351234366440714E-2</v>
      </c>
      <c r="E1212">
        <f>LN(Table1[[#This Row],[MXNUSD_real]]/C1213)</f>
        <v>-2.196177742183027E-3</v>
      </c>
      <c r="N1212" s="4">
        <v>0.88975149577140145</v>
      </c>
    </row>
    <row r="1213" spans="1:14" x14ac:dyDescent="0.25">
      <c r="A1213" s="1">
        <v>39149</v>
      </c>
      <c r="B1213" s="2">
        <v>26773.79</v>
      </c>
      <c r="C1213" s="2">
        <v>11.167999999999999</v>
      </c>
      <c r="D1213">
        <f>LN(Table1[[#This Row],[IPC_real]]/B1214)</f>
        <v>2.2259992222679294E-2</v>
      </c>
      <c r="E1213">
        <f>LN(Table1[[#This Row],[MXNUSD_real]]/C1214)</f>
        <v>7.1658906685171894E-4</v>
      </c>
      <c r="N1213" s="4">
        <v>0.88574025128870493</v>
      </c>
    </row>
    <row r="1214" spans="1:14" x14ac:dyDescent="0.25">
      <c r="A1214" s="1">
        <v>39148</v>
      </c>
      <c r="B1214" s="2">
        <v>26184.39</v>
      </c>
      <c r="C1214" s="2">
        <v>11.16</v>
      </c>
      <c r="D1214">
        <f>LN(Table1[[#This Row],[IPC_real]]/B1215)</f>
        <v>-6.5188621493622347E-3</v>
      </c>
      <c r="E1214">
        <f>LN(Table1[[#This Row],[MXNUSD_real]]/C1215)</f>
        <v>1.6142053545412009E-3</v>
      </c>
      <c r="N1214" s="4">
        <v>0.88733627632245327</v>
      </c>
    </row>
    <row r="1215" spans="1:14" x14ac:dyDescent="0.25">
      <c r="A1215" s="1">
        <v>39147</v>
      </c>
      <c r="B1215" s="2">
        <v>26355.64</v>
      </c>
      <c r="C1215" s="2">
        <v>11.141999999999999</v>
      </c>
      <c r="D1215">
        <f>LN(Table1[[#This Row],[IPC_real]]/B1216)</f>
        <v>2.1758678725342637E-2</v>
      </c>
      <c r="E1215">
        <f>LN(Table1[[#This Row],[MXNUSD_real]]/C1216)</f>
        <v>-3.0468703560369657E-3</v>
      </c>
      <c r="N1215" s="4">
        <v>0.88876636700563616</v>
      </c>
    </row>
    <row r="1216" spans="1:14" x14ac:dyDescent="0.25">
      <c r="A1216" s="1">
        <v>39146</v>
      </c>
      <c r="B1216" s="2">
        <v>25788.37</v>
      </c>
      <c r="C1216" s="2">
        <v>11.176</v>
      </c>
      <c r="D1216">
        <f>LN(Table1[[#This Row],[IPC_real]]/B1217)</f>
        <v>-2.0448043639151436E-2</v>
      </c>
      <c r="E1216">
        <f>LN(Table1[[#This Row],[MXNUSD_real]]/C1217)</f>
        <v>-3.6172865165622942E-3</v>
      </c>
      <c r="N1216" s="4">
        <v>0.88506612420497544</v>
      </c>
    </row>
    <row r="1217" spans="1:14" x14ac:dyDescent="0.25">
      <c r="A1217" s="1">
        <v>39143</v>
      </c>
      <c r="B1217" s="2">
        <v>26321.119999999999</v>
      </c>
      <c r="C1217" s="2">
        <v>11.2165</v>
      </c>
      <c r="D1217">
        <f>LN(Table1[[#This Row],[IPC_real]]/B1218)</f>
        <v>-1.2329307867944101E-2</v>
      </c>
      <c r="E1217">
        <f>LN(Table1[[#This Row],[MXNUSD_real]]/C1218)</f>
        <v>5.8567284879982194E-3</v>
      </c>
      <c r="N1217" s="4">
        <v>0.88790155948144567</v>
      </c>
    </row>
    <row r="1218" spans="1:14" x14ac:dyDescent="0.25">
      <c r="A1218" s="1">
        <v>39142</v>
      </c>
      <c r="B1218" s="2">
        <v>26647.65</v>
      </c>
      <c r="C1218" s="2">
        <v>11.151</v>
      </c>
      <c r="D1218">
        <f>LN(Table1[[#This Row],[IPC_real]]/B1219)</f>
        <v>3.2653613018290243E-4</v>
      </c>
      <c r="E1218">
        <f>LN(Table1[[#This Row],[MXNUSD_real]]/C1219)</f>
        <v>-8.9637869035305519E-4</v>
      </c>
      <c r="N1218" s="4">
        <v>0.88814500000095686</v>
      </c>
    </row>
    <row r="1219" spans="1:14" x14ac:dyDescent="0.25">
      <c r="A1219" s="1">
        <v>39141</v>
      </c>
      <c r="B1219" s="2">
        <v>26638.95</v>
      </c>
      <c r="C1219" s="2">
        <v>11.161</v>
      </c>
      <c r="D1219">
        <f>LN(Table1[[#This Row],[IPC_real]]/B1220)</f>
        <v>8.297795518243235E-3</v>
      </c>
      <c r="E1219">
        <f>LN(Table1[[#This Row],[MXNUSD_real]]/C1220)</f>
        <v>-8.9557591513341026E-4</v>
      </c>
      <c r="N1219" s="4">
        <v>0.88706606860351389</v>
      </c>
    </row>
    <row r="1220" spans="1:14" x14ac:dyDescent="0.25">
      <c r="A1220" s="1">
        <v>39140</v>
      </c>
      <c r="B1220" s="2">
        <v>26418.82</v>
      </c>
      <c r="C1220" s="2">
        <v>11.170999999999999</v>
      </c>
      <c r="D1220">
        <f>LN(Table1[[#This Row],[IPC_real]]/B1221)</f>
        <v>-5.9775089238780332E-2</v>
      </c>
      <c r="E1220">
        <f>LN(Table1[[#This Row],[MXNUSD_real]]/C1221)</f>
        <v>8.2245806415887617E-3</v>
      </c>
      <c r="N1220" s="4">
        <v>0.88672316390124695</v>
      </c>
    </row>
    <row r="1221" spans="1:14" x14ac:dyDescent="0.25">
      <c r="A1221" s="1">
        <v>39139</v>
      </c>
      <c r="B1221" s="2">
        <v>28046.16</v>
      </c>
      <c r="C1221" s="2">
        <v>11.079499999999999</v>
      </c>
      <c r="D1221">
        <f>LN(Table1[[#This Row],[IPC_real]]/B1222)</f>
        <v>-1.6253044689545425E-2</v>
      </c>
      <c r="E1221">
        <f>LN(Table1[[#This Row],[MXNUSD_real]]/C1222)</f>
        <v>3.7526889298130006E-3</v>
      </c>
      <c r="N1221" s="4">
        <v>0.88845047269084276</v>
      </c>
    </row>
    <row r="1222" spans="1:14" x14ac:dyDescent="0.25">
      <c r="A1222" s="1">
        <v>39136</v>
      </c>
      <c r="B1222" s="2">
        <v>28505.72</v>
      </c>
      <c r="C1222" s="2">
        <v>11.038</v>
      </c>
      <c r="D1222">
        <f>LN(Table1[[#This Row],[IPC_real]]/B1223)</f>
        <v>-5.9725056956719267E-3</v>
      </c>
      <c r="E1222">
        <f>LN(Table1[[#This Row],[MXNUSD_real]]/C1223)</f>
        <v>3.4485922189389185E-3</v>
      </c>
      <c r="N1222" s="4">
        <v>0.88865288771593587</v>
      </c>
    </row>
    <row r="1223" spans="1:14" x14ac:dyDescent="0.25">
      <c r="A1223" s="1">
        <v>39135</v>
      </c>
      <c r="B1223" s="2">
        <v>28676.48</v>
      </c>
      <c r="C1223" s="2">
        <v>11</v>
      </c>
      <c r="D1223">
        <f>LN(Table1[[#This Row],[IPC_real]]/B1224)</f>
        <v>-1.3757911748417187E-3</v>
      </c>
      <c r="E1223">
        <f>LN(Table1[[#This Row],[MXNUSD_real]]/C1224)</f>
        <v>1.0005003335834001E-3</v>
      </c>
      <c r="N1223" s="4">
        <v>0.88503467645105771</v>
      </c>
    </row>
    <row r="1224" spans="1:14" x14ac:dyDescent="0.25">
      <c r="A1224" s="1">
        <v>39134</v>
      </c>
      <c r="B1224" s="2">
        <v>28715.96</v>
      </c>
      <c r="C1224" s="2">
        <v>10.989000000000001</v>
      </c>
      <c r="D1224">
        <f>LN(Table1[[#This Row],[IPC_real]]/B1225)</f>
        <v>4.4079517681195309E-3</v>
      </c>
      <c r="E1224">
        <f>LN(Table1[[#This Row],[MXNUSD_real]]/C1225)</f>
        <v>-1.819836219762307E-4</v>
      </c>
      <c r="N1224" s="4">
        <v>0.88766987932364039</v>
      </c>
    </row>
    <row r="1225" spans="1:14" x14ac:dyDescent="0.25">
      <c r="A1225" s="1">
        <v>39133</v>
      </c>
      <c r="B1225" s="2">
        <v>28589.66</v>
      </c>
      <c r="C1225" s="2">
        <v>10.991</v>
      </c>
      <c r="D1225">
        <f>LN(Table1[[#This Row],[IPC_real]]/B1226)</f>
        <v>-1.7838458072078838E-5</v>
      </c>
      <c r="E1225">
        <f>LN(Table1[[#This Row],[MXNUSD_real]]/C1226)</f>
        <v>2.003643657566351E-3</v>
      </c>
      <c r="N1225" s="4">
        <v>0.88766958273538032</v>
      </c>
    </row>
    <row r="1226" spans="1:14" x14ac:dyDescent="0.25">
      <c r="A1226" s="1">
        <v>39132</v>
      </c>
      <c r="B1226" s="2">
        <v>28590.17</v>
      </c>
      <c r="C1226" s="2">
        <v>10.968999999999999</v>
      </c>
      <c r="D1226">
        <f>LN(Table1[[#This Row],[IPC_real]]/B1227)</f>
        <v>3.4722476094283267E-3</v>
      </c>
      <c r="E1226">
        <f>LN(Table1[[#This Row],[MXNUSD_real]]/C1227)</f>
        <v>-2.5039279204168569E-3</v>
      </c>
      <c r="N1226" s="4">
        <v>0.88404269245092182</v>
      </c>
    </row>
    <row r="1227" spans="1:14" x14ac:dyDescent="0.25">
      <c r="A1227" s="1">
        <v>39129</v>
      </c>
      <c r="B1227" s="2">
        <v>28491.07</v>
      </c>
      <c r="C1227" s="2">
        <v>10.996499999999999</v>
      </c>
      <c r="D1227">
        <f>LN(Table1[[#This Row],[IPC_real]]/B1228)</f>
        <v>-2.6952182149341561E-4</v>
      </c>
      <c r="E1227">
        <f>LN(Table1[[#This Row],[MXNUSD_real]]/C1228)</f>
        <v>2.41276606247492E-3</v>
      </c>
      <c r="N1227" s="4">
        <v>0.88588615830091622</v>
      </c>
    </row>
    <row r="1228" spans="1:14" x14ac:dyDescent="0.25">
      <c r="A1228" s="1">
        <v>39128</v>
      </c>
      <c r="B1228" s="2">
        <v>28498.75</v>
      </c>
      <c r="C1228" s="2">
        <v>10.97</v>
      </c>
      <c r="D1228">
        <f>LN(Table1[[#This Row],[IPC_real]]/B1229)</f>
        <v>-1.4355233779364729E-3</v>
      </c>
      <c r="E1228">
        <f>LN(Table1[[#This Row],[MXNUSD_real]]/C1229)</f>
        <v>4.6598832552097406E-3</v>
      </c>
      <c r="N1228" s="4">
        <v>0.88600691848409685</v>
      </c>
    </row>
    <row r="1229" spans="1:14" x14ac:dyDescent="0.25">
      <c r="A1229" s="1">
        <v>39127</v>
      </c>
      <c r="B1229" s="2">
        <v>28539.69</v>
      </c>
      <c r="C1229" s="2">
        <v>10.919</v>
      </c>
      <c r="D1229">
        <f>LN(Table1[[#This Row],[IPC_real]]/B1230)</f>
        <v>9.7546050654395405E-3</v>
      </c>
      <c r="E1229">
        <f>LN(Table1[[#This Row],[MXNUSD_real]]/C1230)</f>
        <v>-3.6110198077074968E-3</v>
      </c>
      <c r="N1229" s="4">
        <v>0.88695814447054488</v>
      </c>
    </row>
    <row r="1230" spans="1:14" x14ac:dyDescent="0.25">
      <c r="A1230" s="1">
        <v>39126</v>
      </c>
      <c r="B1230" s="2">
        <v>28262.65</v>
      </c>
      <c r="C1230" s="2">
        <v>10.958500000000001</v>
      </c>
      <c r="D1230">
        <f>LN(Table1[[#This Row],[IPC_real]]/B1231)</f>
        <v>1.0328912660078354E-2</v>
      </c>
      <c r="E1230">
        <f>LN(Table1[[#This Row],[MXNUSD_real]]/C1231)</f>
        <v>-5.9139468152618327E-3</v>
      </c>
      <c r="N1230" s="4">
        <v>0.88740439936443627</v>
      </c>
    </row>
    <row r="1231" spans="1:14" x14ac:dyDescent="0.25">
      <c r="A1231" s="1">
        <v>39125</v>
      </c>
      <c r="B1231" s="2">
        <v>27972.23</v>
      </c>
      <c r="C1231" s="2">
        <v>11.0235</v>
      </c>
      <c r="D1231">
        <f>LN(Table1[[#This Row],[IPC_real]]/B1232)</f>
        <v>2.33862057167324E-3</v>
      </c>
      <c r="E1231">
        <f>LN(Table1[[#This Row],[MXNUSD_real]]/C1232)</f>
        <v>2.4523173052846819E-3</v>
      </c>
      <c r="N1231" s="4">
        <v>0.88657284946245773</v>
      </c>
    </row>
    <row r="1232" spans="1:14" x14ac:dyDescent="0.25">
      <c r="A1232" s="1">
        <v>39122</v>
      </c>
      <c r="B1232" s="2">
        <v>27906.89</v>
      </c>
      <c r="C1232" s="2">
        <v>10.996499999999999</v>
      </c>
      <c r="D1232">
        <f>LN(Table1[[#This Row],[IPC_real]]/B1233)</f>
        <v>-1.0351198358493617E-2</v>
      </c>
      <c r="E1232">
        <f>LN(Table1[[#This Row],[MXNUSD_real]]/C1233)</f>
        <v>4.2375840871039733E-3</v>
      </c>
      <c r="N1232" s="4">
        <v>0.88825600804473681</v>
      </c>
    </row>
    <row r="1233" spans="1:14" x14ac:dyDescent="0.25">
      <c r="A1233" s="1">
        <v>39121</v>
      </c>
      <c r="B1233" s="2">
        <v>28197.26</v>
      </c>
      <c r="C1233" s="2">
        <v>10.95</v>
      </c>
      <c r="D1233">
        <f>LN(Table1[[#This Row],[IPC_real]]/B1234)</f>
        <v>2.6100394391069931E-3</v>
      </c>
      <c r="E1233">
        <f>LN(Table1[[#This Row],[MXNUSD_real]]/C1234)</f>
        <v>-4.5651678492003909E-4</v>
      </c>
      <c r="N1233" s="4">
        <v>0.88641392771952898</v>
      </c>
    </row>
    <row r="1234" spans="1:14" x14ac:dyDescent="0.25">
      <c r="A1234" s="1">
        <v>39120</v>
      </c>
      <c r="B1234" s="2">
        <v>28123.759999999998</v>
      </c>
      <c r="C1234" s="2">
        <v>10.955</v>
      </c>
      <c r="D1234">
        <f>LN(Table1[[#This Row],[IPC_real]]/B1235)</f>
        <v>2.0060101588841718E-3</v>
      </c>
      <c r="E1234">
        <f>LN(Table1[[#This Row],[MXNUSD_real]]/C1235)</f>
        <v>2.925315186023843E-3</v>
      </c>
      <c r="N1234" s="4">
        <v>0.88552245413250963</v>
      </c>
    </row>
    <row r="1235" spans="1:14" x14ac:dyDescent="0.25">
      <c r="A1235" s="1">
        <v>39119</v>
      </c>
      <c r="B1235" s="2">
        <v>28067.4</v>
      </c>
      <c r="C1235" s="2">
        <v>10.923</v>
      </c>
      <c r="D1235">
        <f>LN(Table1[[#This Row],[IPC_real]]/B1236)</f>
        <v>4.797468937013505E-3</v>
      </c>
      <c r="E1235">
        <f>LN(Table1[[#This Row],[MXNUSD_real]]/C1236)</f>
        <v>-3.7465205791333261E-3</v>
      </c>
      <c r="N1235" s="4">
        <v>0.88865067443507384</v>
      </c>
    </row>
    <row r="1236" spans="1:14" x14ac:dyDescent="0.25">
      <c r="A1236" s="1">
        <v>39115</v>
      </c>
      <c r="B1236" s="2">
        <v>27933.07</v>
      </c>
      <c r="C1236" s="2">
        <v>10.964</v>
      </c>
      <c r="D1236">
        <f>LN(Table1[[#This Row],[IPC_real]]/B1237)</f>
        <v>3.2383230844407287E-3</v>
      </c>
      <c r="E1236">
        <f>LN(Table1[[#This Row],[MXNUSD_real]]/C1237)</f>
        <v>-6.8382305324779903E-4</v>
      </c>
      <c r="N1236" s="4">
        <v>0.88944843520667272</v>
      </c>
    </row>
    <row r="1237" spans="1:14" x14ac:dyDescent="0.25">
      <c r="A1237" s="1">
        <v>39114</v>
      </c>
      <c r="B1237" s="2">
        <v>27842.76</v>
      </c>
      <c r="C1237" s="2">
        <v>10.971500000000001</v>
      </c>
      <c r="D1237">
        <f>LN(Table1[[#This Row],[IPC_real]]/B1238)</f>
        <v>1.0153459938685775E-2</v>
      </c>
      <c r="E1237">
        <f>LN(Table1[[#This Row],[MXNUSD_real]]/C1238)</f>
        <v>-4.9551186737046412E-3</v>
      </c>
      <c r="N1237" s="4">
        <v>0.8863985092592952</v>
      </c>
    </row>
    <row r="1238" spans="1:14" x14ac:dyDescent="0.25">
      <c r="A1238" s="1">
        <v>39113</v>
      </c>
      <c r="B1238" s="2">
        <v>27561.49</v>
      </c>
      <c r="C1238" s="2">
        <v>11.026</v>
      </c>
      <c r="D1238">
        <f>LN(Table1[[#This Row],[IPC_real]]/B1239)</f>
        <v>1.5581465596249266E-2</v>
      </c>
      <c r="E1238">
        <f>LN(Table1[[#This Row],[MXNUSD_real]]/C1239)</f>
        <v>-3.1738115475776508E-4</v>
      </c>
      <c r="N1238" s="4">
        <v>0.88569240219334189</v>
      </c>
    </row>
    <row r="1239" spans="1:14" x14ac:dyDescent="0.25">
      <c r="A1239" s="1">
        <v>39112</v>
      </c>
      <c r="B1239" s="2">
        <v>27135.37</v>
      </c>
      <c r="C1239" s="2">
        <v>11.029500000000001</v>
      </c>
      <c r="D1239">
        <f>LN(Table1[[#This Row],[IPC_real]]/B1240)</f>
        <v>1.1166439474190545E-2</v>
      </c>
      <c r="E1239">
        <f>LN(Table1[[#This Row],[MXNUSD_real]]/C1240)</f>
        <v>-5.5153846864573345E-3</v>
      </c>
      <c r="N1239" s="4">
        <v>0.88750678617387302</v>
      </c>
    </row>
    <row r="1240" spans="1:14" x14ac:dyDescent="0.25">
      <c r="A1240" s="1">
        <v>39111</v>
      </c>
      <c r="B1240" s="2">
        <v>26834.05</v>
      </c>
      <c r="C1240" s="2">
        <v>11.0905</v>
      </c>
      <c r="D1240">
        <f>LN(Table1[[#This Row],[IPC_real]]/B1241)</f>
        <v>-7.856794046570012E-3</v>
      </c>
      <c r="E1240">
        <f>LN(Table1[[#This Row],[MXNUSD_real]]/C1241)</f>
        <v>2.7538899145182695E-3</v>
      </c>
      <c r="N1240" s="4">
        <v>0.8862133655066563</v>
      </c>
    </row>
    <row r="1241" spans="1:14" x14ac:dyDescent="0.25">
      <c r="A1241" s="1">
        <v>39108</v>
      </c>
      <c r="B1241" s="2">
        <v>27045.71</v>
      </c>
      <c r="C1241" s="2">
        <v>11.06</v>
      </c>
      <c r="D1241">
        <f>LN(Table1[[#This Row],[IPC_real]]/B1242)</f>
        <v>5.4266465300452198E-3</v>
      </c>
      <c r="E1241">
        <f>LN(Table1[[#This Row],[MXNUSD_real]]/C1242)</f>
        <v>2.1270344950593554E-3</v>
      </c>
      <c r="N1241" s="4">
        <v>0.88869847881625663</v>
      </c>
    </row>
    <row r="1242" spans="1:14" x14ac:dyDescent="0.25">
      <c r="A1242" s="1">
        <v>39107</v>
      </c>
      <c r="B1242" s="2">
        <v>26899.34</v>
      </c>
      <c r="C1242" s="2">
        <v>11.0365</v>
      </c>
      <c r="D1242">
        <f>LN(Table1[[#This Row],[IPC_real]]/B1243)</f>
        <v>-1.6186898415629036E-2</v>
      </c>
      <c r="E1242">
        <f>LN(Table1[[#This Row],[MXNUSD_real]]/C1243)</f>
        <v>9.1478621774809879E-3</v>
      </c>
      <c r="N1242" s="4">
        <v>0.88759121370450367</v>
      </c>
    </row>
    <row r="1243" spans="1:14" x14ac:dyDescent="0.25">
      <c r="A1243" s="1">
        <v>39106</v>
      </c>
      <c r="B1243" s="2">
        <v>27338.3</v>
      </c>
      <c r="C1243" s="2">
        <v>10.936</v>
      </c>
      <c r="D1243">
        <f>LN(Table1[[#This Row],[IPC_real]]/B1244)</f>
        <v>1.9513697158573585E-2</v>
      </c>
      <c r="E1243">
        <f>LN(Table1[[#This Row],[MXNUSD_real]]/C1244)</f>
        <v>-9.1399330007800302E-4</v>
      </c>
      <c r="N1243" s="4">
        <v>0.88912007222276856</v>
      </c>
    </row>
    <row r="1244" spans="1:14" x14ac:dyDescent="0.25">
      <c r="A1244" s="1">
        <v>39105</v>
      </c>
      <c r="B1244" s="2">
        <v>26810</v>
      </c>
      <c r="C1244" s="2">
        <v>10.946</v>
      </c>
      <c r="D1244">
        <f>LN(Table1[[#This Row],[IPC_real]]/B1245)</f>
        <v>1.4190096721583566E-2</v>
      </c>
      <c r="E1244">
        <f>LN(Table1[[#This Row],[MXNUSD_real]]/C1245)</f>
        <v>1.2340884167877562E-3</v>
      </c>
      <c r="N1244" s="4">
        <v>0.88745495291394538</v>
      </c>
    </row>
    <row r="1245" spans="1:14" x14ac:dyDescent="0.25">
      <c r="A1245" s="1">
        <v>39104</v>
      </c>
      <c r="B1245" s="2">
        <v>26432.25</v>
      </c>
      <c r="C1245" s="2">
        <v>10.932499999999999</v>
      </c>
      <c r="D1245">
        <f>LN(Table1[[#This Row],[IPC_real]]/B1246)</f>
        <v>8.3148880925711481E-3</v>
      </c>
      <c r="E1245">
        <f>LN(Table1[[#This Row],[MXNUSD_real]]/C1246)</f>
        <v>2.9772150698405037E-3</v>
      </c>
      <c r="N1245" s="4">
        <v>0.88931259555996001</v>
      </c>
    </row>
    <row r="1246" spans="1:14" x14ac:dyDescent="0.25">
      <c r="A1246" s="1">
        <v>39101</v>
      </c>
      <c r="B1246" s="2">
        <v>26213.38</v>
      </c>
      <c r="C1246" s="2">
        <v>10.9</v>
      </c>
      <c r="D1246">
        <f>LN(Table1[[#This Row],[IPC_real]]/B1247)</f>
        <v>3.841671192343619E-3</v>
      </c>
      <c r="E1246">
        <f>LN(Table1[[#This Row],[MXNUSD_real]]/C1247)</f>
        <v>-2.5655135933363091E-3</v>
      </c>
      <c r="N1246" s="4">
        <v>0.88628062647250272</v>
      </c>
    </row>
    <row r="1247" spans="1:14" x14ac:dyDescent="0.25">
      <c r="A1247" s="1">
        <v>39100</v>
      </c>
      <c r="B1247" s="2">
        <v>26112.87</v>
      </c>
      <c r="C1247" s="2">
        <v>10.928000000000001</v>
      </c>
      <c r="D1247">
        <f>LN(Table1[[#This Row],[IPC_real]]/B1248)</f>
        <v>-1.6921550868425086E-2</v>
      </c>
      <c r="E1247">
        <f>LN(Table1[[#This Row],[MXNUSD_real]]/C1248)</f>
        <v>-1.7371432939859283E-3</v>
      </c>
      <c r="N1247" s="4">
        <v>0.88652502795288513</v>
      </c>
    </row>
    <row r="1248" spans="1:14" x14ac:dyDescent="0.25">
      <c r="A1248" s="1">
        <v>39099</v>
      </c>
      <c r="B1248" s="2">
        <v>26558.5</v>
      </c>
      <c r="C1248" s="2">
        <v>10.946999999999999</v>
      </c>
      <c r="D1248">
        <f>LN(Table1[[#This Row],[IPC_real]]/B1249)</f>
        <v>2.9476538829907506E-3</v>
      </c>
      <c r="E1248">
        <f>LN(Table1[[#This Row],[MXNUSD_real]]/C1249)</f>
        <v>-1.9164961375930675E-3</v>
      </c>
      <c r="N1248" s="4">
        <v>0.88364607322468958</v>
      </c>
    </row>
    <row r="1249" spans="1:14" x14ac:dyDescent="0.25">
      <c r="A1249" s="1">
        <v>39098</v>
      </c>
      <c r="B1249" s="2">
        <v>26480.33</v>
      </c>
      <c r="C1249" s="2">
        <v>10.968</v>
      </c>
      <c r="D1249">
        <f>LN(Table1[[#This Row],[IPC_real]]/B1250)</f>
        <v>1.1329228124796225E-5</v>
      </c>
      <c r="E1249">
        <f>LN(Table1[[#This Row],[MXNUSD_real]]/C1250)</f>
        <v>8.209057787581834E-4</v>
      </c>
      <c r="N1249" s="4">
        <v>0.88767638612522526</v>
      </c>
    </row>
    <row r="1250" spans="1:14" x14ac:dyDescent="0.25">
      <c r="A1250" s="1">
        <v>39097</v>
      </c>
      <c r="B1250" s="2">
        <v>26480.03</v>
      </c>
      <c r="C1250" s="2">
        <v>10.959</v>
      </c>
      <c r="D1250">
        <f>LN(Table1[[#This Row],[IPC_real]]/B1251)</f>
        <v>5.8953580128721242E-3</v>
      </c>
      <c r="E1250">
        <f>LN(Table1[[#This Row],[MXNUSD_real]]/C1251)</f>
        <v>-3.6493021114780829E-4</v>
      </c>
      <c r="N1250" s="4">
        <v>0.88686897917955188</v>
      </c>
    </row>
    <row r="1251" spans="1:14" x14ac:dyDescent="0.25">
      <c r="A1251" s="1">
        <v>39094</v>
      </c>
      <c r="B1251" s="2">
        <v>26324.38</v>
      </c>
      <c r="C1251" s="2">
        <v>10.962999999999999</v>
      </c>
      <c r="D1251">
        <f>LN(Table1[[#This Row],[IPC_real]]/B1252)</f>
        <v>2.9095201483449961E-3</v>
      </c>
      <c r="E1251">
        <f>LN(Table1[[#This Row],[MXNUSD_real]]/C1252)</f>
        <v>-4.6412241478867794E-3</v>
      </c>
      <c r="N1251" s="4">
        <v>0.8861929658416916</v>
      </c>
    </row>
    <row r="1252" spans="1:14" x14ac:dyDescent="0.25">
      <c r="A1252" s="1">
        <v>39093</v>
      </c>
      <c r="B1252" s="2">
        <v>26247.9</v>
      </c>
      <c r="C1252" s="2">
        <v>11.013999999999999</v>
      </c>
      <c r="D1252">
        <f>LN(Table1[[#This Row],[IPC_real]]/B1253)</f>
        <v>1.3891430031100615E-2</v>
      </c>
      <c r="E1252">
        <f>LN(Table1[[#This Row],[MXNUSD_real]]/C1253)</f>
        <v>2.7275223746198178E-3</v>
      </c>
      <c r="N1252" s="4">
        <v>0.8882781545077626</v>
      </c>
    </row>
    <row r="1253" spans="1:14" x14ac:dyDescent="0.25">
      <c r="A1253" s="1">
        <v>39092</v>
      </c>
      <c r="B1253" s="2">
        <v>25885.8</v>
      </c>
      <c r="C1253" s="2">
        <v>10.984</v>
      </c>
      <c r="D1253">
        <f>LN(Table1[[#This Row],[IPC_real]]/B1254)</f>
        <v>3.9776443785487121E-3</v>
      </c>
      <c r="E1253">
        <f>LN(Table1[[#This Row],[MXNUSD_real]]/C1254)</f>
        <v>-1.0009555410545482E-3</v>
      </c>
      <c r="N1253" s="4">
        <v>0.8879783680526363</v>
      </c>
    </row>
    <row r="1254" spans="1:14" x14ac:dyDescent="0.25">
      <c r="A1254" s="1">
        <v>39091</v>
      </c>
      <c r="B1254" s="2">
        <v>25783.040000000001</v>
      </c>
      <c r="C1254" s="2">
        <v>10.994999999999999</v>
      </c>
      <c r="D1254">
        <f>LN(Table1[[#This Row],[IPC_real]]/B1255)</f>
        <v>-1.9153685112117961E-2</v>
      </c>
      <c r="E1254">
        <f>LN(Table1[[#This Row],[MXNUSD_real]]/C1255)</f>
        <v>4.8320283650902657E-3</v>
      </c>
      <c r="N1254" s="4">
        <v>0.88804362457349628</v>
      </c>
    </row>
    <row r="1255" spans="1:14" x14ac:dyDescent="0.25">
      <c r="A1255" s="1">
        <v>39090</v>
      </c>
      <c r="B1255" s="2">
        <v>26281.64</v>
      </c>
      <c r="C1255" s="2">
        <v>10.942</v>
      </c>
      <c r="D1255">
        <f>LN(Table1[[#This Row],[IPC_real]]/B1256)</f>
        <v>5.5722269190369581E-3</v>
      </c>
      <c r="E1255">
        <f>LN(Table1[[#This Row],[MXNUSD_real]]/C1256)</f>
        <v>1.09729345318707E-3</v>
      </c>
      <c r="N1255" s="4">
        <v>0.88702647173440086</v>
      </c>
    </row>
    <row r="1256" spans="1:14" x14ac:dyDescent="0.25">
      <c r="A1256" s="1">
        <v>39087</v>
      </c>
      <c r="B1256" s="2">
        <v>26135.599999999999</v>
      </c>
      <c r="C1256" s="2">
        <v>10.93</v>
      </c>
      <c r="D1256">
        <f>LN(Table1[[#This Row],[IPC_real]]/B1257)</f>
        <v>-1.6344372821573024E-2</v>
      </c>
      <c r="E1256">
        <f>LN(Table1[[#This Row],[MXNUSD_real]]/C1257)</f>
        <v>2.7485129533490935E-3</v>
      </c>
      <c r="N1256" s="4">
        <v>0.88747267994507184</v>
      </c>
    </row>
    <row r="1257" spans="1:14" x14ac:dyDescent="0.25">
      <c r="A1257" s="1">
        <v>39086</v>
      </c>
      <c r="B1257" s="2">
        <v>26566.28</v>
      </c>
      <c r="C1257" s="2">
        <v>10.9</v>
      </c>
      <c r="D1257">
        <f>LN(Table1[[#This Row],[IPC_real]]/B1258)</f>
        <v>-1.9964038282161132E-3</v>
      </c>
      <c r="E1257">
        <f>LN(Table1[[#This Row],[MXNUSD_real]]/C1258)</f>
        <v>7.5513757858628634E-3</v>
      </c>
      <c r="N1257" s="4">
        <v>0.88901140421333547</v>
      </c>
    </row>
    <row r="1258" spans="1:14" x14ac:dyDescent="0.25">
      <c r="A1258" s="1">
        <v>39085</v>
      </c>
      <c r="B1258" s="2">
        <v>26619.37</v>
      </c>
      <c r="C1258" s="2">
        <v>10.818</v>
      </c>
      <c r="D1258">
        <f>LN(Table1[[#This Row],[IPC_real]]/B1259)</f>
        <v>-1.6920712800146071E-3</v>
      </c>
      <c r="E1258">
        <f>LN(Table1[[#This Row],[MXNUSD_real]]/C1259)</f>
        <v>3.936374823745795E-3</v>
      </c>
      <c r="N1258" s="4">
        <v>0.88629095590871065</v>
      </c>
    </row>
    <row r="1259" spans="1:14" x14ac:dyDescent="0.25">
      <c r="A1259" s="1">
        <v>39084</v>
      </c>
      <c r="B1259" s="2">
        <v>26664.45</v>
      </c>
      <c r="C1259" s="2">
        <v>10.775499999999999</v>
      </c>
      <c r="N1259" s="4">
        <v>0.8877084823151451</v>
      </c>
    </row>
    <row r="1260" spans="1:14" x14ac:dyDescent="0.25">
      <c r="N1260" s="4">
        <v>0.88545285430357545</v>
      </c>
    </row>
    <row r="1261" spans="1:14" x14ac:dyDescent="0.25">
      <c r="N1261" s="4">
        <v>0.88692123722231186</v>
      </c>
    </row>
    <row r="1262" spans="1:14" x14ac:dyDescent="0.25">
      <c r="N1262" s="4">
        <v>0.88628273323811468</v>
      </c>
    </row>
    <row r="1263" spans="1:14" x14ac:dyDescent="0.25">
      <c r="N1263" s="4">
        <v>0.88432839543560315</v>
      </c>
    </row>
    <row r="1264" spans="1:14" x14ac:dyDescent="0.25">
      <c r="N1264" s="4">
        <v>0.88581293404187622</v>
      </c>
    </row>
    <row r="1265" spans="14:14" x14ac:dyDescent="0.25">
      <c r="N1265" s="4" t="e">
        <v>#N/A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Cuevas Covarrubias Carlos</dc:creator>
  <cp:lastModifiedBy>Bernardo</cp:lastModifiedBy>
  <dcterms:created xsi:type="dcterms:W3CDTF">2019-03-28T23:09:30Z</dcterms:created>
  <dcterms:modified xsi:type="dcterms:W3CDTF">2019-04-10T00:18:41Z</dcterms:modified>
</cp:coreProperties>
</file>